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dor\Desktop\facultate\AIRI_V-Beam-Sensor\Data\FEA_results\"/>
    </mc:Choice>
  </mc:AlternateContent>
  <xr:revisionPtr revIDLastSave="0" documentId="13_ncr:1_{D2272046-FCD2-42C3-9279-3F66136B5C76}" xr6:coauthVersionLast="47" xr6:coauthVersionMax="47" xr10:uidLastSave="{00000000-0000-0000-0000-000000000000}"/>
  <bookViews>
    <workbookView xWindow="-98" yWindow="-98" windowWidth="19396" windowHeight="11475" xr2:uid="{F7D0C80D-C0C8-44C2-96E5-EF0F645C93F3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Q378" i="1" l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P258" i="1"/>
  <c r="Q258" i="1"/>
  <c r="P259" i="1"/>
  <c r="Q259" i="1"/>
  <c r="P260" i="1"/>
  <c r="Q260" i="1"/>
  <c r="P261" i="1"/>
  <c r="Q261" i="1"/>
  <c r="P262" i="1"/>
  <c r="Q262" i="1"/>
  <c r="P263" i="1"/>
  <c r="Q263" i="1"/>
  <c r="P264" i="1"/>
  <c r="Q264" i="1"/>
  <c r="P265" i="1"/>
  <c r="Q265" i="1"/>
  <c r="P266" i="1"/>
  <c r="Q266" i="1"/>
  <c r="P267" i="1"/>
  <c r="Q267" i="1"/>
  <c r="P268" i="1"/>
  <c r="Q268" i="1"/>
  <c r="P269" i="1"/>
  <c r="Q269" i="1"/>
  <c r="P270" i="1"/>
  <c r="Q270" i="1"/>
  <c r="P271" i="1"/>
  <c r="Q271" i="1"/>
  <c r="P272" i="1"/>
  <c r="Q272" i="1"/>
  <c r="P273" i="1"/>
  <c r="Q273" i="1"/>
  <c r="P274" i="1"/>
  <c r="Q274" i="1"/>
  <c r="P275" i="1"/>
  <c r="Q275" i="1"/>
  <c r="P276" i="1"/>
  <c r="Q276" i="1"/>
  <c r="P277" i="1"/>
  <c r="Q277" i="1"/>
  <c r="P278" i="1"/>
  <c r="Q278" i="1"/>
  <c r="P279" i="1"/>
  <c r="Q279" i="1"/>
  <c r="P280" i="1"/>
  <c r="Q280" i="1"/>
  <c r="P281" i="1"/>
  <c r="Q281" i="1"/>
  <c r="P282" i="1"/>
  <c r="Q282" i="1"/>
  <c r="P283" i="1"/>
  <c r="Q283" i="1"/>
  <c r="P284" i="1"/>
  <c r="Q284" i="1"/>
  <c r="P285" i="1"/>
  <c r="Q285" i="1"/>
  <c r="P286" i="1"/>
  <c r="Q286" i="1"/>
  <c r="P287" i="1"/>
  <c r="Q287" i="1"/>
  <c r="P288" i="1"/>
  <c r="Q288" i="1"/>
  <c r="P289" i="1"/>
  <c r="Q289" i="1"/>
  <c r="P290" i="1"/>
  <c r="Q290" i="1"/>
  <c r="P291" i="1"/>
  <c r="Q291" i="1"/>
  <c r="P292" i="1"/>
  <c r="Q292" i="1"/>
  <c r="P293" i="1"/>
  <c r="Q293" i="1"/>
  <c r="P294" i="1"/>
  <c r="Q294" i="1"/>
  <c r="P295" i="1"/>
  <c r="Q295" i="1"/>
  <c r="P296" i="1"/>
  <c r="Q296" i="1"/>
  <c r="P297" i="1"/>
  <c r="Q297" i="1"/>
  <c r="P298" i="1"/>
  <c r="Q298" i="1"/>
  <c r="P299" i="1"/>
  <c r="Q299" i="1"/>
  <c r="P300" i="1"/>
  <c r="Q300" i="1"/>
  <c r="P301" i="1"/>
  <c r="Q301" i="1"/>
  <c r="P302" i="1"/>
  <c r="Q302" i="1"/>
  <c r="P303" i="1"/>
  <c r="Q303" i="1"/>
  <c r="P304" i="1"/>
  <c r="Q304" i="1"/>
  <c r="P305" i="1"/>
  <c r="Q305" i="1"/>
  <c r="P306" i="1"/>
  <c r="Q306" i="1"/>
  <c r="P307" i="1"/>
  <c r="Q307" i="1"/>
  <c r="P308" i="1"/>
  <c r="Q308" i="1"/>
  <c r="P309" i="1"/>
  <c r="Q309" i="1"/>
  <c r="P310" i="1"/>
  <c r="Q310" i="1"/>
  <c r="P311" i="1"/>
  <c r="Q311" i="1"/>
  <c r="P312" i="1"/>
  <c r="Q312" i="1"/>
  <c r="P313" i="1"/>
  <c r="Q313" i="1"/>
  <c r="P314" i="1"/>
  <c r="Q314" i="1"/>
  <c r="P315" i="1"/>
  <c r="Q315" i="1"/>
  <c r="P316" i="1"/>
  <c r="Q316" i="1"/>
  <c r="P317" i="1"/>
  <c r="Q317" i="1"/>
  <c r="P318" i="1"/>
  <c r="Q318" i="1"/>
  <c r="P319" i="1"/>
  <c r="Q319" i="1"/>
  <c r="P320" i="1"/>
  <c r="Q320" i="1"/>
  <c r="P321" i="1"/>
  <c r="Q321" i="1"/>
  <c r="P322" i="1"/>
  <c r="Q322" i="1"/>
  <c r="P323" i="1"/>
  <c r="Q323" i="1"/>
  <c r="P324" i="1"/>
  <c r="Q324" i="1"/>
  <c r="P325" i="1"/>
  <c r="Q325" i="1"/>
  <c r="P326" i="1"/>
  <c r="Q326" i="1"/>
  <c r="P327" i="1"/>
  <c r="Q327" i="1"/>
  <c r="P328" i="1"/>
  <c r="Q328" i="1"/>
  <c r="P329" i="1"/>
  <c r="Q329" i="1"/>
  <c r="P330" i="1"/>
  <c r="Q330" i="1"/>
  <c r="P331" i="1"/>
  <c r="Q331" i="1"/>
  <c r="P332" i="1"/>
  <c r="Q332" i="1"/>
  <c r="P333" i="1"/>
  <c r="Q333" i="1"/>
  <c r="P334" i="1"/>
  <c r="Q334" i="1"/>
  <c r="P335" i="1"/>
  <c r="Q335" i="1"/>
  <c r="P336" i="1"/>
  <c r="Q336" i="1"/>
  <c r="P337" i="1"/>
  <c r="Q337" i="1"/>
  <c r="P338" i="1"/>
  <c r="Q338" i="1"/>
  <c r="P339" i="1"/>
  <c r="Q339" i="1"/>
  <c r="P340" i="1"/>
  <c r="Q340" i="1"/>
  <c r="P341" i="1"/>
  <c r="Q341" i="1"/>
  <c r="P342" i="1"/>
  <c r="Q342" i="1"/>
  <c r="P343" i="1"/>
  <c r="Q343" i="1"/>
  <c r="P344" i="1"/>
  <c r="Q344" i="1"/>
  <c r="P345" i="1"/>
  <c r="Q345" i="1"/>
  <c r="P346" i="1"/>
  <c r="Q346" i="1"/>
  <c r="P347" i="1"/>
  <c r="Q347" i="1"/>
  <c r="P348" i="1"/>
  <c r="Q348" i="1"/>
  <c r="P349" i="1"/>
  <c r="Q349" i="1"/>
  <c r="P350" i="1"/>
  <c r="Q350" i="1"/>
  <c r="P351" i="1"/>
  <c r="Q351" i="1"/>
  <c r="P352" i="1"/>
  <c r="Q352" i="1"/>
  <c r="P353" i="1"/>
  <c r="Q353" i="1"/>
  <c r="P354" i="1"/>
  <c r="Q354" i="1"/>
  <c r="P355" i="1"/>
  <c r="Q355" i="1"/>
  <c r="P356" i="1"/>
  <c r="Q356" i="1"/>
  <c r="P357" i="1"/>
  <c r="Q357" i="1"/>
  <c r="P358" i="1"/>
  <c r="Q358" i="1"/>
  <c r="P359" i="1"/>
  <c r="Q359" i="1"/>
  <c r="P360" i="1"/>
  <c r="Q360" i="1"/>
  <c r="P361" i="1"/>
  <c r="Q361" i="1"/>
  <c r="P362" i="1"/>
  <c r="Q362" i="1"/>
  <c r="P363" i="1"/>
  <c r="Q363" i="1"/>
  <c r="P364" i="1"/>
  <c r="Q364" i="1"/>
  <c r="P365" i="1"/>
  <c r="Q365" i="1"/>
  <c r="P366" i="1"/>
  <c r="Q366" i="1"/>
  <c r="P367" i="1"/>
  <c r="Q367" i="1"/>
  <c r="P368" i="1"/>
  <c r="Q368" i="1"/>
  <c r="P369" i="1"/>
  <c r="Q369" i="1"/>
  <c r="P370" i="1"/>
  <c r="Q370" i="1"/>
  <c r="P371" i="1"/>
  <c r="Q371" i="1"/>
  <c r="P372" i="1"/>
  <c r="Q372" i="1"/>
  <c r="P373" i="1"/>
  <c r="Q373" i="1"/>
  <c r="P374" i="1"/>
  <c r="Q374" i="1"/>
  <c r="P375" i="1"/>
  <c r="Q375" i="1"/>
  <c r="P376" i="1"/>
  <c r="Q376" i="1"/>
  <c r="P377" i="1"/>
  <c r="Q377" i="1"/>
  <c r="P418" i="1"/>
  <c r="Q418" i="1"/>
  <c r="P419" i="1"/>
  <c r="Q419" i="1"/>
  <c r="P420" i="1"/>
  <c r="Q420" i="1"/>
  <c r="P421" i="1"/>
  <c r="Q421" i="1"/>
  <c r="P422" i="1"/>
  <c r="Q422" i="1"/>
  <c r="P423" i="1"/>
  <c r="Q423" i="1"/>
  <c r="P424" i="1"/>
  <c r="Q424" i="1"/>
  <c r="P425" i="1"/>
  <c r="Q425" i="1"/>
  <c r="P426" i="1"/>
  <c r="Q426" i="1"/>
  <c r="P427" i="1"/>
  <c r="Q427" i="1"/>
  <c r="P428" i="1"/>
  <c r="Q428" i="1"/>
  <c r="P429" i="1"/>
  <c r="Q429" i="1"/>
  <c r="P430" i="1"/>
  <c r="Q430" i="1"/>
  <c r="P431" i="1"/>
  <c r="Q431" i="1"/>
  <c r="P432" i="1"/>
  <c r="Q432" i="1"/>
  <c r="P433" i="1"/>
  <c r="Q433" i="1"/>
  <c r="P434" i="1"/>
  <c r="Q434" i="1"/>
  <c r="P435" i="1"/>
  <c r="Q435" i="1"/>
  <c r="P436" i="1"/>
  <c r="Q436" i="1"/>
  <c r="P437" i="1"/>
  <c r="Q437" i="1"/>
  <c r="P438" i="1"/>
  <c r="Q438" i="1"/>
  <c r="P439" i="1"/>
  <c r="Q439" i="1"/>
  <c r="P440" i="1"/>
  <c r="Q440" i="1"/>
  <c r="P441" i="1"/>
  <c r="Q441" i="1"/>
  <c r="P442" i="1"/>
  <c r="Q442" i="1"/>
  <c r="P443" i="1"/>
  <c r="Q443" i="1"/>
  <c r="P444" i="1"/>
  <c r="Q444" i="1"/>
  <c r="P445" i="1"/>
  <c r="Q445" i="1"/>
  <c r="P446" i="1"/>
  <c r="Q446" i="1"/>
  <c r="P447" i="1"/>
  <c r="Q447" i="1"/>
  <c r="P448" i="1"/>
  <c r="Q448" i="1"/>
  <c r="P449" i="1"/>
  <c r="Q449" i="1"/>
  <c r="P450" i="1"/>
  <c r="Q450" i="1"/>
  <c r="P451" i="1"/>
  <c r="Q451" i="1"/>
  <c r="P452" i="1"/>
  <c r="Q452" i="1"/>
  <c r="P453" i="1"/>
  <c r="Q453" i="1"/>
  <c r="P454" i="1"/>
  <c r="Q454" i="1"/>
  <c r="P455" i="1"/>
  <c r="Q455" i="1"/>
  <c r="P456" i="1"/>
  <c r="Q456" i="1"/>
  <c r="P457" i="1"/>
  <c r="Q4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P8" i="1"/>
  <c r="Q8" i="1"/>
  <c r="L9" i="1"/>
  <c r="P9" i="1"/>
  <c r="Q9" i="1"/>
  <c r="L10" i="1"/>
  <c r="P10" i="1"/>
  <c r="Q10" i="1"/>
  <c r="L11" i="1"/>
  <c r="P11" i="1"/>
  <c r="Q11" i="1"/>
  <c r="L12" i="1"/>
  <c r="P12" i="1"/>
  <c r="Q12" i="1"/>
  <c r="L13" i="1"/>
  <c r="P13" i="1"/>
  <c r="Q13" i="1"/>
  <c r="L14" i="1"/>
  <c r="P14" i="1"/>
  <c r="Q14" i="1"/>
  <c r="L15" i="1"/>
  <c r="P15" i="1"/>
  <c r="Q15" i="1"/>
  <c r="L16" i="1"/>
  <c r="P16" i="1"/>
  <c r="Q16" i="1"/>
  <c r="L17" i="1"/>
  <c r="P17" i="1"/>
  <c r="Q17" i="1"/>
  <c r="L18" i="1"/>
  <c r="P18" i="1"/>
  <c r="Q18" i="1"/>
  <c r="L19" i="1"/>
  <c r="P19" i="1"/>
  <c r="Q19" i="1"/>
  <c r="L20" i="1"/>
  <c r="P20" i="1"/>
  <c r="Q20" i="1"/>
  <c r="L21" i="1"/>
  <c r="P21" i="1"/>
  <c r="Q21" i="1"/>
  <c r="L22" i="1"/>
  <c r="P22" i="1"/>
  <c r="Q22" i="1"/>
  <c r="L23" i="1"/>
  <c r="P23" i="1"/>
  <c r="Q23" i="1"/>
  <c r="L24" i="1"/>
  <c r="P24" i="1"/>
  <c r="Q24" i="1"/>
  <c r="L25" i="1"/>
  <c r="P25" i="1"/>
  <c r="Q25" i="1"/>
  <c r="L26" i="1"/>
  <c r="P26" i="1"/>
  <c r="Q26" i="1"/>
  <c r="L27" i="1"/>
  <c r="P27" i="1"/>
  <c r="Q27" i="1"/>
  <c r="L28" i="1"/>
  <c r="P28" i="1"/>
  <c r="Q28" i="1"/>
  <c r="L29" i="1"/>
  <c r="P29" i="1"/>
  <c r="Q29" i="1"/>
  <c r="L30" i="1"/>
  <c r="P30" i="1"/>
  <c r="Q30" i="1"/>
  <c r="L31" i="1"/>
  <c r="P31" i="1"/>
  <c r="Q31" i="1"/>
  <c r="L32" i="1"/>
  <c r="P32" i="1"/>
  <c r="Q32" i="1"/>
  <c r="L33" i="1"/>
  <c r="P33" i="1"/>
  <c r="Q33" i="1"/>
  <c r="L34" i="1"/>
  <c r="P34" i="1"/>
  <c r="Q34" i="1"/>
  <c r="L35" i="1"/>
  <c r="P35" i="1"/>
  <c r="Q35" i="1"/>
  <c r="L36" i="1"/>
  <c r="P36" i="1"/>
  <c r="Q36" i="1"/>
  <c r="L37" i="1"/>
  <c r="P37" i="1"/>
  <c r="Q37" i="1"/>
  <c r="L38" i="1"/>
  <c r="P38" i="1"/>
  <c r="Q38" i="1"/>
  <c r="L39" i="1"/>
  <c r="P39" i="1"/>
  <c r="Q39" i="1"/>
  <c r="L40" i="1"/>
  <c r="P40" i="1"/>
  <c r="Q40" i="1"/>
  <c r="L41" i="1"/>
  <c r="P41" i="1"/>
  <c r="Q41" i="1"/>
  <c r="L42" i="1"/>
  <c r="P42" i="1"/>
  <c r="Q42" i="1"/>
  <c r="L43" i="1"/>
  <c r="P43" i="1"/>
  <c r="Q43" i="1"/>
  <c r="L44" i="1"/>
  <c r="P44" i="1"/>
  <c r="Q44" i="1"/>
  <c r="L45" i="1"/>
  <c r="P45" i="1"/>
  <c r="Q45" i="1"/>
  <c r="L46" i="1"/>
  <c r="P46" i="1"/>
  <c r="Q46" i="1"/>
  <c r="L47" i="1"/>
  <c r="P47" i="1"/>
  <c r="Q47" i="1"/>
  <c r="L48" i="1"/>
  <c r="P48" i="1"/>
  <c r="Q48" i="1"/>
  <c r="L49" i="1"/>
  <c r="P49" i="1"/>
  <c r="Q49" i="1"/>
  <c r="L50" i="1"/>
  <c r="P50" i="1"/>
  <c r="Q50" i="1"/>
  <c r="L51" i="1"/>
  <c r="P51" i="1"/>
  <c r="Q51" i="1"/>
  <c r="L52" i="1"/>
  <c r="P52" i="1"/>
  <c r="Q52" i="1"/>
  <c r="L53" i="1"/>
  <c r="P53" i="1"/>
  <c r="Q53" i="1"/>
  <c r="L54" i="1"/>
  <c r="P54" i="1"/>
  <c r="Q54" i="1"/>
  <c r="L55" i="1"/>
  <c r="P55" i="1"/>
  <c r="Q55" i="1"/>
  <c r="L56" i="1"/>
  <c r="P56" i="1"/>
  <c r="Q56" i="1"/>
  <c r="L57" i="1"/>
  <c r="P57" i="1"/>
  <c r="Q57" i="1"/>
  <c r="L58" i="1"/>
  <c r="P58" i="1"/>
  <c r="Q58" i="1"/>
  <c r="L59" i="1"/>
  <c r="P59" i="1"/>
  <c r="Q59" i="1"/>
  <c r="L60" i="1"/>
  <c r="P60" i="1"/>
  <c r="Q60" i="1"/>
  <c r="L61" i="1"/>
  <c r="P61" i="1"/>
  <c r="Q61" i="1"/>
  <c r="L62" i="1"/>
  <c r="P62" i="1"/>
  <c r="Q62" i="1"/>
  <c r="L63" i="1"/>
  <c r="P63" i="1"/>
  <c r="Q63" i="1"/>
  <c r="L64" i="1"/>
  <c r="P64" i="1"/>
  <c r="Q64" i="1"/>
  <c r="L65" i="1"/>
  <c r="P65" i="1"/>
  <c r="Q65" i="1"/>
  <c r="L66" i="1"/>
  <c r="P66" i="1"/>
  <c r="Q66" i="1"/>
  <c r="L67" i="1"/>
  <c r="P67" i="1"/>
  <c r="Q67" i="1"/>
  <c r="L68" i="1"/>
  <c r="P68" i="1"/>
  <c r="Q68" i="1"/>
  <c r="L69" i="1"/>
  <c r="P69" i="1"/>
  <c r="Q69" i="1"/>
  <c r="L70" i="1"/>
  <c r="P70" i="1"/>
  <c r="Q70" i="1"/>
  <c r="L71" i="1"/>
  <c r="P71" i="1"/>
  <c r="Q71" i="1"/>
  <c r="L72" i="1"/>
  <c r="P72" i="1"/>
  <c r="Q72" i="1"/>
  <c r="L73" i="1"/>
  <c r="P73" i="1"/>
  <c r="Q73" i="1"/>
  <c r="L74" i="1"/>
  <c r="P74" i="1"/>
  <c r="Q74" i="1"/>
  <c r="L75" i="1"/>
  <c r="P75" i="1"/>
  <c r="Q75" i="1"/>
  <c r="L76" i="1"/>
  <c r="P76" i="1"/>
  <c r="Q76" i="1"/>
  <c r="L77" i="1"/>
  <c r="P77" i="1"/>
  <c r="Q77" i="1"/>
  <c r="L78" i="1"/>
  <c r="P78" i="1"/>
  <c r="Q78" i="1"/>
  <c r="L79" i="1"/>
  <c r="P79" i="1"/>
  <c r="Q79" i="1"/>
  <c r="L80" i="1"/>
  <c r="P80" i="1"/>
  <c r="Q80" i="1"/>
  <c r="L81" i="1"/>
  <c r="P81" i="1"/>
  <c r="Q81" i="1"/>
  <c r="L82" i="1"/>
  <c r="P82" i="1"/>
  <c r="Q82" i="1"/>
  <c r="L83" i="1"/>
  <c r="P83" i="1"/>
  <c r="Q83" i="1"/>
  <c r="L84" i="1"/>
  <c r="P84" i="1"/>
  <c r="Q84" i="1"/>
  <c r="L85" i="1"/>
  <c r="P85" i="1"/>
  <c r="Q85" i="1"/>
  <c r="L86" i="1"/>
  <c r="P86" i="1"/>
  <c r="Q86" i="1"/>
  <c r="L87" i="1"/>
  <c r="P87" i="1"/>
  <c r="Q87" i="1"/>
  <c r="L88" i="1"/>
  <c r="P88" i="1"/>
  <c r="Q88" i="1"/>
  <c r="L89" i="1"/>
  <c r="P89" i="1"/>
  <c r="Q89" i="1"/>
  <c r="L90" i="1"/>
  <c r="P90" i="1"/>
  <c r="Q90" i="1"/>
  <c r="L91" i="1"/>
  <c r="P91" i="1"/>
  <c r="Q91" i="1"/>
  <c r="L92" i="1"/>
  <c r="P92" i="1"/>
  <c r="Q92" i="1"/>
  <c r="L93" i="1"/>
  <c r="P93" i="1"/>
  <c r="Q93" i="1"/>
  <c r="L94" i="1"/>
  <c r="P94" i="1"/>
  <c r="Q94" i="1"/>
  <c r="L95" i="1"/>
  <c r="P95" i="1"/>
  <c r="Q95" i="1"/>
  <c r="L96" i="1"/>
  <c r="P96" i="1"/>
  <c r="Q96" i="1"/>
  <c r="L97" i="1"/>
  <c r="P97" i="1"/>
  <c r="Q97" i="1"/>
  <c r="L98" i="1"/>
  <c r="P98" i="1"/>
  <c r="Q98" i="1"/>
  <c r="L99" i="1"/>
  <c r="P99" i="1"/>
  <c r="Q99" i="1"/>
  <c r="L100" i="1"/>
  <c r="P100" i="1"/>
  <c r="Q100" i="1"/>
  <c r="L101" i="1"/>
  <c r="P101" i="1"/>
  <c r="Q101" i="1"/>
  <c r="L102" i="1"/>
  <c r="P102" i="1"/>
  <c r="Q102" i="1"/>
  <c r="L103" i="1"/>
  <c r="P103" i="1"/>
  <c r="Q103" i="1"/>
  <c r="L104" i="1"/>
  <c r="P104" i="1"/>
  <c r="Q104" i="1"/>
  <c r="L105" i="1"/>
  <c r="P105" i="1"/>
  <c r="Q105" i="1"/>
  <c r="L106" i="1"/>
  <c r="P106" i="1"/>
  <c r="Q106" i="1"/>
  <c r="L107" i="1"/>
  <c r="P107" i="1"/>
  <c r="Q107" i="1"/>
  <c r="L108" i="1"/>
  <c r="P108" i="1"/>
  <c r="Q108" i="1"/>
  <c r="L109" i="1"/>
  <c r="P109" i="1"/>
  <c r="Q109" i="1"/>
  <c r="L110" i="1"/>
  <c r="P110" i="1"/>
  <c r="Q110" i="1"/>
  <c r="L111" i="1"/>
  <c r="P111" i="1"/>
  <c r="Q111" i="1"/>
  <c r="L112" i="1"/>
  <c r="P112" i="1"/>
  <c r="Q112" i="1"/>
  <c r="L113" i="1"/>
  <c r="P113" i="1"/>
  <c r="Q113" i="1"/>
  <c r="L114" i="1"/>
  <c r="P114" i="1"/>
  <c r="Q114" i="1"/>
  <c r="L115" i="1"/>
  <c r="P115" i="1"/>
  <c r="Q115" i="1"/>
  <c r="L116" i="1"/>
  <c r="P116" i="1"/>
  <c r="Q116" i="1"/>
  <c r="L117" i="1"/>
  <c r="P117" i="1"/>
  <c r="Q117" i="1"/>
  <c r="L118" i="1"/>
  <c r="P118" i="1"/>
  <c r="Q118" i="1"/>
  <c r="L119" i="1"/>
  <c r="P119" i="1"/>
  <c r="Q119" i="1"/>
  <c r="L120" i="1"/>
  <c r="P120" i="1"/>
  <c r="Q120" i="1"/>
  <c r="L121" i="1"/>
  <c r="P121" i="1"/>
  <c r="Q121" i="1"/>
  <c r="L122" i="1"/>
  <c r="P122" i="1"/>
  <c r="Q122" i="1"/>
  <c r="L123" i="1"/>
  <c r="P123" i="1"/>
  <c r="Q123" i="1"/>
  <c r="L124" i="1"/>
  <c r="P124" i="1"/>
  <c r="Q124" i="1"/>
  <c r="L125" i="1"/>
  <c r="P125" i="1"/>
  <c r="Q125" i="1"/>
  <c r="L126" i="1"/>
  <c r="P126" i="1"/>
  <c r="Q126" i="1"/>
  <c r="L127" i="1"/>
  <c r="P127" i="1"/>
  <c r="Q127" i="1"/>
  <c r="L128" i="1"/>
  <c r="P128" i="1"/>
  <c r="Q128" i="1"/>
  <c r="L129" i="1"/>
  <c r="P129" i="1"/>
  <c r="Q129" i="1"/>
  <c r="L130" i="1"/>
  <c r="P130" i="1"/>
  <c r="Q130" i="1"/>
  <c r="L131" i="1"/>
  <c r="P131" i="1"/>
  <c r="Q131" i="1"/>
  <c r="L132" i="1"/>
  <c r="P132" i="1"/>
  <c r="Q132" i="1"/>
  <c r="L133" i="1"/>
  <c r="P133" i="1"/>
  <c r="Q133" i="1"/>
  <c r="L134" i="1"/>
  <c r="P134" i="1"/>
  <c r="Q134" i="1"/>
  <c r="L135" i="1"/>
  <c r="P135" i="1"/>
  <c r="Q135" i="1"/>
  <c r="L136" i="1"/>
  <c r="P136" i="1"/>
  <c r="Q136" i="1"/>
  <c r="L137" i="1"/>
  <c r="P137" i="1"/>
  <c r="Q137" i="1"/>
  <c r="L138" i="1"/>
  <c r="P138" i="1"/>
  <c r="Q138" i="1"/>
  <c r="L139" i="1"/>
  <c r="P139" i="1"/>
  <c r="Q139" i="1"/>
  <c r="L140" i="1"/>
  <c r="P140" i="1"/>
  <c r="Q140" i="1"/>
  <c r="L141" i="1"/>
  <c r="P141" i="1"/>
  <c r="Q141" i="1"/>
  <c r="L142" i="1"/>
  <c r="P142" i="1"/>
  <c r="Q142" i="1"/>
  <c r="L143" i="1"/>
  <c r="P143" i="1"/>
  <c r="Q143" i="1"/>
  <c r="L144" i="1"/>
  <c r="P144" i="1"/>
  <c r="Q144" i="1"/>
  <c r="L145" i="1"/>
  <c r="P145" i="1"/>
  <c r="Q145" i="1"/>
  <c r="L146" i="1"/>
  <c r="P146" i="1"/>
  <c r="Q146" i="1"/>
  <c r="L147" i="1"/>
  <c r="P147" i="1"/>
  <c r="Q147" i="1"/>
  <c r="L148" i="1"/>
  <c r="P148" i="1"/>
  <c r="Q148" i="1"/>
  <c r="L149" i="1"/>
  <c r="P149" i="1"/>
  <c r="Q149" i="1"/>
  <c r="L150" i="1"/>
  <c r="P150" i="1"/>
  <c r="Q150" i="1"/>
  <c r="L151" i="1"/>
  <c r="P151" i="1"/>
  <c r="Q151" i="1"/>
  <c r="L152" i="1"/>
  <c r="P152" i="1"/>
  <c r="Q152" i="1"/>
  <c r="L153" i="1"/>
  <c r="P153" i="1"/>
  <c r="Q153" i="1"/>
  <c r="L154" i="1"/>
  <c r="P154" i="1"/>
  <c r="Q154" i="1"/>
  <c r="L155" i="1"/>
  <c r="P155" i="1"/>
  <c r="Q155" i="1"/>
  <c r="L156" i="1"/>
  <c r="P156" i="1"/>
  <c r="Q156" i="1"/>
  <c r="L157" i="1"/>
  <c r="P157" i="1"/>
  <c r="Q157" i="1"/>
  <c r="L158" i="1"/>
  <c r="P158" i="1"/>
  <c r="Q158" i="1"/>
  <c r="L159" i="1"/>
  <c r="P159" i="1"/>
  <c r="Q159" i="1"/>
  <c r="L160" i="1"/>
  <c r="P160" i="1"/>
  <c r="Q160" i="1"/>
  <c r="L161" i="1"/>
  <c r="P161" i="1"/>
  <c r="Q161" i="1"/>
  <c r="L162" i="1"/>
  <c r="P162" i="1"/>
  <c r="Q162" i="1"/>
  <c r="L163" i="1"/>
  <c r="P163" i="1"/>
  <c r="Q163" i="1"/>
  <c r="L164" i="1"/>
  <c r="P164" i="1"/>
  <c r="Q164" i="1"/>
  <c r="L165" i="1"/>
  <c r="P165" i="1"/>
  <c r="Q165" i="1"/>
  <c r="L166" i="1"/>
  <c r="P166" i="1"/>
  <c r="Q166" i="1"/>
  <c r="L167" i="1"/>
  <c r="P167" i="1"/>
  <c r="Q167" i="1"/>
  <c r="L168" i="1"/>
  <c r="P168" i="1"/>
  <c r="Q168" i="1"/>
  <c r="L169" i="1"/>
  <c r="P169" i="1"/>
  <c r="Q169" i="1"/>
  <c r="L170" i="1"/>
  <c r="P170" i="1"/>
  <c r="Q170" i="1"/>
  <c r="L171" i="1"/>
  <c r="P171" i="1"/>
  <c r="Q171" i="1"/>
  <c r="L172" i="1"/>
  <c r="P172" i="1"/>
  <c r="Q172" i="1"/>
  <c r="L173" i="1"/>
  <c r="P173" i="1"/>
  <c r="Q173" i="1"/>
  <c r="L174" i="1"/>
  <c r="P174" i="1"/>
  <c r="Q174" i="1"/>
  <c r="L175" i="1"/>
  <c r="P175" i="1"/>
  <c r="Q175" i="1"/>
  <c r="L176" i="1"/>
  <c r="P176" i="1"/>
  <c r="Q176" i="1"/>
  <c r="L177" i="1"/>
  <c r="P177" i="1"/>
  <c r="Q177" i="1"/>
  <c r="L178" i="1"/>
  <c r="P178" i="1"/>
  <c r="Q178" i="1"/>
  <c r="L179" i="1"/>
  <c r="P179" i="1"/>
  <c r="Q179" i="1"/>
  <c r="L180" i="1"/>
  <c r="P180" i="1"/>
  <c r="Q180" i="1"/>
  <c r="L181" i="1"/>
  <c r="P181" i="1"/>
  <c r="Q181" i="1"/>
  <c r="L182" i="1"/>
  <c r="P182" i="1"/>
  <c r="Q182" i="1"/>
  <c r="L183" i="1"/>
  <c r="P183" i="1"/>
  <c r="Q183" i="1"/>
  <c r="L184" i="1"/>
  <c r="P184" i="1"/>
  <c r="Q184" i="1"/>
  <c r="L185" i="1"/>
  <c r="P185" i="1"/>
  <c r="Q185" i="1"/>
  <c r="L186" i="1"/>
  <c r="P186" i="1"/>
  <c r="Q186" i="1"/>
  <c r="L187" i="1"/>
  <c r="P187" i="1"/>
  <c r="Q187" i="1"/>
  <c r="L188" i="1"/>
  <c r="P188" i="1"/>
  <c r="Q188" i="1"/>
  <c r="L189" i="1"/>
  <c r="P189" i="1"/>
  <c r="Q189" i="1"/>
  <c r="L190" i="1"/>
  <c r="P190" i="1"/>
  <c r="Q190" i="1"/>
  <c r="L191" i="1"/>
  <c r="P191" i="1"/>
  <c r="Q191" i="1"/>
  <c r="L192" i="1"/>
  <c r="P192" i="1"/>
  <c r="Q192" i="1"/>
  <c r="L193" i="1"/>
  <c r="P193" i="1"/>
  <c r="Q193" i="1"/>
  <c r="L194" i="1"/>
  <c r="P194" i="1"/>
  <c r="Q194" i="1"/>
  <c r="L195" i="1"/>
  <c r="P195" i="1"/>
  <c r="Q195" i="1"/>
  <c r="L196" i="1"/>
  <c r="P196" i="1"/>
  <c r="Q196" i="1"/>
  <c r="L197" i="1"/>
  <c r="P197" i="1"/>
  <c r="Q197" i="1"/>
  <c r="L198" i="1"/>
  <c r="P198" i="1"/>
  <c r="Q198" i="1"/>
  <c r="L199" i="1"/>
  <c r="P199" i="1"/>
  <c r="Q199" i="1"/>
  <c r="L200" i="1"/>
  <c r="P200" i="1"/>
  <c r="Q200" i="1"/>
  <c r="L201" i="1"/>
  <c r="P201" i="1"/>
  <c r="Q201" i="1"/>
  <c r="L202" i="1"/>
  <c r="P202" i="1"/>
  <c r="Q202" i="1"/>
  <c r="L203" i="1"/>
  <c r="P203" i="1"/>
  <c r="Q203" i="1"/>
  <c r="L204" i="1"/>
  <c r="P204" i="1"/>
  <c r="Q204" i="1"/>
  <c r="L205" i="1"/>
  <c r="P205" i="1"/>
  <c r="Q205" i="1"/>
  <c r="L206" i="1"/>
  <c r="P206" i="1"/>
  <c r="Q206" i="1"/>
  <c r="L207" i="1"/>
  <c r="P207" i="1"/>
  <c r="Q207" i="1"/>
  <c r="L208" i="1"/>
  <c r="P208" i="1"/>
  <c r="Q208" i="1"/>
  <c r="L209" i="1"/>
  <c r="P209" i="1"/>
  <c r="Q209" i="1"/>
  <c r="L210" i="1"/>
  <c r="P210" i="1"/>
  <c r="Q210" i="1"/>
  <c r="L211" i="1"/>
  <c r="P211" i="1"/>
  <c r="Q211" i="1"/>
  <c r="L212" i="1"/>
  <c r="P212" i="1"/>
  <c r="Q212" i="1"/>
  <c r="L213" i="1"/>
  <c r="P213" i="1"/>
  <c r="Q213" i="1"/>
  <c r="L214" i="1"/>
  <c r="P214" i="1"/>
  <c r="Q214" i="1"/>
  <c r="L215" i="1"/>
  <c r="P215" i="1"/>
  <c r="Q215" i="1"/>
  <c r="L216" i="1"/>
  <c r="P216" i="1"/>
  <c r="Q216" i="1"/>
  <c r="L217" i="1"/>
  <c r="P217" i="1"/>
  <c r="Q217" i="1"/>
  <c r="L218" i="1"/>
  <c r="P218" i="1"/>
  <c r="Q218" i="1"/>
  <c r="L219" i="1"/>
  <c r="P219" i="1"/>
  <c r="Q219" i="1"/>
  <c r="L220" i="1"/>
  <c r="P220" i="1"/>
  <c r="Q220" i="1"/>
  <c r="L221" i="1"/>
  <c r="P221" i="1"/>
  <c r="Q221" i="1"/>
  <c r="L222" i="1"/>
  <c r="P222" i="1"/>
  <c r="Q222" i="1"/>
  <c r="L223" i="1"/>
  <c r="P223" i="1"/>
  <c r="Q223" i="1"/>
  <c r="L224" i="1"/>
  <c r="P224" i="1"/>
  <c r="Q224" i="1"/>
  <c r="L225" i="1"/>
  <c r="P225" i="1"/>
  <c r="Q225" i="1"/>
  <c r="L226" i="1"/>
  <c r="P226" i="1"/>
  <c r="Q226" i="1"/>
  <c r="L227" i="1"/>
  <c r="P227" i="1"/>
  <c r="Q227" i="1"/>
  <c r="L228" i="1"/>
  <c r="P228" i="1"/>
  <c r="Q228" i="1"/>
  <c r="L229" i="1"/>
  <c r="P229" i="1"/>
  <c r="Q229" i="1"/>
  <c r="L230" i="1"/>
  <c r="P230" i="1"/>
  <c r="Q230" i="1"/>
  <c r="L231" i="1"/>
  <c r="P231" i="1"/>
  <c r="Q231" i="1"/>
  <c r="L232" i="1"/>
  <c r="P232" i="1"/>
  <c r="Q232" i="1"/>
  <c r="L233" i="1"/>
  <c r="P233" i="1"/>
  <c r="Q233" i="1"/>
  <c r="L234" i="1"/>
  <c r="P234" i="1"/>
  <c r="Q234" i="1"/>
  <c r="L235" i="1"/>
  <c r="P235" i="1"/>
  <c r="Q235" i="1"/>
  <c r="L236" i="1"/>
  <c r="P236" i="1"/>
  <c r="Q236" i="1"/>
  <c r="L237" i="1"/>
  <c r="P237" i="1"/>
  <c r="Q237" i="1"/>
  <c r="L238" i="1"/>
  <c r="P238" i="1"/>
  <c r="Q238" i="1"/>
  <c r="L239" i="1"/>
  <c r="P239" i="1"/>
  <c r="Q239" i="1"/>
  <c r="L240" i="1"/>
  <c r="P240" i="1"/>
  <c r="Q240" i="1"/>
  <c r="L241" i="1"/>
  <c r="P241" i="1"/>
  <c r="Q241" i="1"/>
  <c r="L242" i="1"/>
  <c r="P242" i="1"/>
  <c r="Q242" i="1"/>
  <c r="L243" i="1"/>
  <c r="P243" i="1"/>
  <c r="Q243" i="1"/>
  <c r="L244" i="1"/>
  <c r="P244" i="1"/>
  <c r="Q244" i="1"/>
  <c r="L245" i="1"/>
  <c r="P245" i="1"/>
  <c r="Q245" i="1"/>
  <c r="L246" i="1"/>
  <c r="P246" i="1"/>
  <c r="Q246" i="1"/>
  <c r="L247" i="1"/>
  <c r="P247" i="1"/>
  <c r="Q247" i="1"/>
  <c r="L248" i="1"/>
  <c r="P248" i="1"/>
  <c r="Q248" i="1"/>
  <c r="L249" i="1"/>
  <c r="P249" i="1"/>
  <c r="Q249" i="1"/>
  <c r="L250" i="1"/>
  <c r="P250" i="1"/>
  <c r="Q250" i="1"/>
  <c r="L251" i="1"/>
  <c r="P251" i="1"/>
  <c r="Q251" i="1"/>
  <c r="P252" i="1"/>
  <c r="Q252" i="1"/>
  <c r="P253" i="1"/>
  <c r="Q253" i="1"/>
  <c r="P254" i="1"/>
  <c r="Q254" i="1"/>
  <c r="P255" i="1"/>
  <c r="Q255" i="1"/>
  <c r="P256" i="1"/>
  <c r="Q256" i="1"/>
  <c r="P257" i="1"/>
  <c r="Q257" i="1"/>
  <c r="L252" i="1"/>
  <c r="L253" i="1"/>
  <c r="L254" i="1"/>
  <c r="L255" i="1"/>
  <c r="L256" i="1"/>
  <c r="L257" i="1"/>
  <c r="Q462" i="1" l="1" a="1"/>
  <c r="Q462" i="1" s="1"/>
  <c r="P461" i="1"/>
  <c r="P462" i="1" a="1"/>
  <c r="P462" i="1" s="1"/>
  <c r="P460" i="1"/>
  <c r="Q460" i="1"/>
  <c r="Q461" i="1"/>
  <c r="L461" i="1"/>
  <c r="L462" i="1" a="1"/>
  <c r="L462" i="1" s="1"/>
  <c r="L46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<sst xmlns="http://schemas.openxmlformats.org/spreadsheetml/2006/main" count="482" uniqueCount="480">
  <si>
    <t xml:space="preserve"># </t>
  </si>
  <si>
    <t># The parameters defined in the project are:</t>
  </si>
  <si>
    <t>P2 - Thermal Condition Magnitude [C]</t>
  </si>
  <si>
    <t>P7 - B [degree]</t>
  </si>
  <si>
    <t>P13 - AnchorDisplacement X Component [mm]</t>
  </si>
  <si>
    <t>P14 - L [mm]</t>
  </si>
  <si>
    <t>P15 - w [mm]</t>
  </si>
  <si>
    <t>P3 - Directional Deformation Maximum [mm]</t>
  </si>
  <si>
    <t>P5 - Solid Volume [mm^3]</t>
  </si>
  <si>
    <t>P6 - Equivalent Stress Maximum [MPa]</t>
  </si>
  <si>
    <t># The following header line defines the name of the columns by reference to the parameters.</t>
  </si>
  <si>
    <t>Name</t>
  </si>
  <si>
    <t>P2</t>
  </si>
  <si>
    <t>P7</t>
  </si>
  <si>
    <t>P13</t>
  </si>
  <si>
    <t>P14</t>
  </si>
  <si>
    <t>P15</t>
  </si>
  <si>
    <t>P3</t>
  </si>
  <si>
    <t>P5</t>
  </si>
  <si>
    <t>P6</t>
  </si>
  <si>
    <t>DP 0</t>
  </si>
  <si>
    <t>DP 1</t>
  </si>
  <si>
    <t>DP 2</t>
  </si>
  <si>
    <t>DP 3</t>
  </si>
  <si>
    <t>DP 4</t>
  </si>
  <si>
    <t>DP 5</t>
  </si>
  <si>
    <t>DP 6</t>
  </si>
  <si>
    <t>DP 7</t>
  </si>
  <si>
    <t>DP 8</t>
  </si>
  <si>
    <t>DP 9</t>
  </si>
  <si>
    <t>DP 10</t>
  </si>
  <si>
    <t>DP 11</t>
  </si>
  <si>
    <t>DP 12</t>
  </si>
  <si>
    <t>DP 13</t>
  </si>
  <si>
    <t>DP 14</t>
  </si>
  <si>
    <t>DP 15</t>
  </si>
  <si>
    <t>DP 16</t>
  </si>
  <si>
    <t>DP 17</t>
  </si>
  <si>
    <t>DP 18</t>
  </si>
  <si>
    <t>DP 19</t>
  </si>
  <si>
    <t>DP 20</t>
  </si>
  <si>
    <t>DP 21</t>
  </si>
  <si>
    <t>DP 22</t>
  </si>
  <si>
    <t>DP 23</t>
  </si>
  <si>
    <t>DP 24</t>
  </si>
  <si>
    <t>DP 25</t>
  </si>
  <si>
    <t>DP 26</t>
  </si>
  <si>
    <t>DP 27</t>
  </si>
  <si>
    <t>DP 28</t>
  </si>
  <si>
    <t>DP 29</t>
  </si>
  <si>
    <t>DP 30</t>
  </si>
  <si>
    <t>DP 31</t>
  </si>
  <si>
    <t>DP 32</t>
  </si>
  <si>
    <t>DP 33</t>
  </si>
  <si>
    <t>DP 34</t>
  </si>
  <si>
    <t>DP 35</t>
  </si>
  <si>
    <t>DP 36</t>
  </si>
  <si>
    <t>DP 37</t>
  </si>
  <si>
    <t>DP 38</t>
  </si>
  <si>
    <t>DP 39</t>
  </si>
  <si>
    <t>DP 40</t>
  </si>
  <si>
    <t>DP 41</t>
  </si>
  <si>
    <t>DP 42</t>
  </si>
  <si>
    <t>DP 43</t>
  </si>
  <si>
    <t>DP 44</t>
  </si>
  <si>
    <t>DP 45</t>
  </si>
  <si>
    <t>DP 46</t>
  </si>
  <si>
    <t>DP 47</t>
  </si>
  <si>
    <t>DP 48</t>
  </si>
  <si>
    <t>DP 49</t>
  </si>
  <si>
    <t>DP 50</t>
  </si>
  <si>
    <t>DP 51</t>
  </si>
  <si>
    <t>DP 52</t>
  </si>
  <si>
    <t>DP 53</t>
  </si>
  <si>
    <t>DP 54</t>
  </si>
  <si>
    <t>DP 55</t>
  </si>
  <si>
    <t>DP 56</t>
  </si>
  <si>
    <t>DP 57</t>
  </si>
  <si>
    <t>DP 58</t>
  </si>
  <si>
    <t>DP 59</t>
  </si>
  <si>
    <t>DP 60</t>
  </si>
  <si>
    <t>DP 61</t>
  </si>
  <si>
    <t>DP 62</t>
  </si>
  <si>
    <t>DP 63</t>
  </si>
  <si>
    <t>DP 64</t>
  </si>
  <si>
    <t>DP 65</t>
  </si>
  <si>
    <t>DP 66</t>
  </si>
  <si>
    <t>DP 67</t>
  </si>
  <si>
    <t>DP 68</t>
  </si>
  <si>
    <t>DP 69</t>
  </si>
  <si>
    <t>DP 70</t>
  </si>
  <si>
    <t>DP 71</t>
  </si>
  <si>
    <t>DP 72</t>
  </si>
  <si>
    <t>DP 73</t>
  </si>
  <si>
    <t>DP 74</t>
  </si>
  <si>
    <t>DP 75</t>
  </si>
  <si>
    <t>DP 76</t>
  </si>
  <si>
    <t>DP 77</t>
  </si>
  <si>
    <t>DP 78</t>
  </si>
  <si>
    <t>DP 79</t>
  </si>
  <si>
    <t>DP 80</t>
  </si>
  <si>
    <t>DP 81</t>
  </si>
  <si>
    <t>DP 82</t>
  </si>
  <si>
    <t>DP 83</t>
  </si>
  <si>
    <t>DP 84</t>
  </si>
  <si>
    <t>DP 85</t>
  </si>
  <si>
    <t>DP 86</t>
  </si>
  <si>
    <t>DP 87</t>
  </si>
  <si>
    <t>DP 88</t>
  </si>
  <si>
    <t>DP 89</t>
  </si>
  <si>
    <t>DP 90</t>
  </si>
  <si>
    <t>DP 91</t>
  </si>
  <si>
    <t>DP 92</t>
  </si>
  <si>
    <t>DP 93</t>
  </si>
  <si>
    <t>DP 94</t>
  </si>
  <si>
    <t>DP 95</t>
  </si>
  <si>
    <t>DP 96</t>
  </si>
  <si>
    <t>DP 97</t>
  </si>
  <si>
    <t>DP 98</t>
  </si>
  <si>
    <t>DP 99</t>
  </si>
  <si>
    <t>DP 100</t>
  </si>
  <si>
    <t>DP 101</t>
  </si>
  <si>
    <t>DP 102</t>
  </si>
  <si>
    <t>DP 103</t>
  </si>
  <si>
    <t>DP 104</t>
  </si>
  <si>
    <t>DP 105</t>
  </si>
  <si>
    <t>DP 106</t>
  </si>
  <si>
    <t>DP 107</t>
  </si>
  <si>
    <t>DP 108</t>
  </si>
  <si>
    <t>DP 109</t>
  </si>
  <si>
    <t>DP 110</t>
  </si>
  <si>
    <t>DP 111</t>
  </si>
  <si>
    <t>DP 112</t>
  </si>
  <si>
    <t>DP 113</t>
  </si>
  <si>
    <t>DP 114</t>
  </si>
  <si>
    <t>DP 115</t>
  </si>
  <si>
    <t>DP 116</t>
  </si>
  <si>
    <t>DP 117</t>
  </si>
  <si>
    <t>DP 118</t>
  </si>
  <si>
    <t>DP 119</t>
  </si>
  <si>
    <t>DP 120</t>
  </si>
  <si>
    <t>DP 121</t>
  </si>
  <si>
    <t>DP 122</t>
  </si>
  <si>
    <t>DP 123</t>
  </si>
  <si>
    <t>DP 124</t>
  </si>
  <si>
    <t>DP 125</t>
  </si>
  <si>
    <t>DP 126</t>
  </si>
  <si>
    <t>DP 127</t>
  </si>
  <si>
    <t>DP 128</t>
  </si>
  <si>
    <t>DP 129</t>
  </si>
  <si>
    <t>DP 130</t>
  </si>
  <si>
    <t>DP 131</t>
  </si>
  <si>
    <t>DP 132</t>
  </si>
  <si>
    <t>DP 133</t>
  </si>
  <si>
    <t>DP 134</t>
  </si>
  <si>
    <t>DP 135</t>
  </si>
  <si>
    <t>DP 136</t>
  </si>
  <si>
    <t>DP 137</t>
  </si>
  <si>
    <t>DP 138</t>
  </si>
  <si>
    <t>DP 139</t>
  </si>
  <si>
    <t>DP 140</t>
  </si>
  <si>
    <t>DP 141</t>
  </si>
  <si>
    <t>DP 142</t>
  </si>
  <si>
    <t>DP 143</t>
  </si>
  <si>
    <t>DP 144</t>
  </si>
  <si>
    <t>DP 145</t>
  </si>
  <si>
    <t>DP 146</t>
  </si>
  <si>
    <t>DP 147</t>
  </si>
  <si>
    <t>DP 148</t>
  </si>
  <si>
    <t>DP 149</t>
  </si>
  <si>
    <t>DP 150</t>
  </si>
  <si>
    <t>DP 151</t>
  </si>
  <si>
    <t>DP 152</t>
  </si>
  <si>
    <t>DP 153</t>
  </si>
  <si>
    <t>DP 154</t>
  </si>
  <si>
    <t>DP 155</t>
  </si>
  <si>
    <t>DP 156</t>
  </si>
  <si>
    <t>DP 157</t>
  </si>
  <si>
    <t>DP 158</t>
  </si>
  <si>
    <t>DP 159</t>
  </si>
  <si>
    <t>DP 160</t>
  </si>
  <si>
    <t>DP 161</t>
  </si>
  <si>
    <t>DP 162</t>
  </si>
  <si>
    <t>DP 163</t>
  </si>
  <si>
    <t>DP 164</t>
  </si>
  <si>
    <t>DP 165</t>
  </si>
  <si>
    <t>DP 166</t>
  </si>
  <si>
    <t>DP 167</t>
  </si>
  <si>
    <t>DP 168</t>
  </si>
  <si>
    <t>DP 169</t>
  </si>
  <si>
    <t>DP 170</t>
  </si>
  <si>
    <t>DP 171</t>
  </si>
  <si>
    <t>DP 172</t>
  </si>
  <si>
    <t>DP 173</t>
  </si>
  <si>
    <t>DP 174</t>
  </si>
  <si>
    <t>DP 175</t>
  </si>
  <si>
    <t>DP 176</t>
  </si>
  <si>
    <t>DP 177</t>
  </si>
  <si>
    <t>DP 178</t>
  </si>
  <si>
    <t>DP 179</t>
  </si>
  <si>
    <t>DP 180</t>
  </si>
  <si>
    <t>DP 181</t>
  </si>
  <si>
    <t>DP 182</t>
  </si>
  <si>
    <t>DP 183</t>
  </si>
  <si>
    <t>DP 184</t>
  </si>
  <si>
    <t>DP 185</t>
  </si>
  <si>
    <t>DP 186</t>
  </si>
  <si>
    <t>DP 187</t>
  </si>
  <si>
    <t>DP 188</t>
  </si>
  <si>
    <t>DP 189</t>
  </si>
  <si>
    <t>DP 190</t>
  </si>
  <si>
    <t>DP 191</t>
  </si>
  <si>
    <t>DP 192</t>
  </si>
  <si>
    <t>DP 193</t>
  </si>
  <si>
    <t>DP 194</t>
  </si>
  <si>
    <t>DP 195</t>
  </si>
  <si>
    <t>DP 196</t>
  </si>
  <si>
    <t>DP 197</t>
  </si>
  <si>
    <t>DP 198</t>
  </si>
  <si>
    <t>DP 199</t>
  </si>
  <si>
    <t>Relative Error [%]</t>
  </si>
  <si>
    <t>min</t>
  </si>
  <si>
    <t>max</t>
  </si>
  <si>
    <t>MeanAbsError</t>
  </si>
  <si>
    <t>DP 200</t>
  </si>
  <si>
    <t>DP 201</t>
  </si>
  <si>
    <t>DP 202</t>
  </si>
  <si>
    <t>DP 203</t>
  </si>
  <si>
    <t>DP 204</t>
  </si>
  <si>
    <t>DP 205</t>
  </si>
  <si>
    <t>DP 206</t>
  </si>
  <si>
    <t>DP 207</t>
  </si>
  <si>
    <t>DP 208</t>
  </si>
  <si>
    <t>DP 209</t>
  </si>
  <si>
    <t>DP 210</t>
  </si>
  <si>
    <t>DP 211</t>
  </si>
  <si>
    <t>DP 212</t>
  </si>
  <si>
    <t>DP 213</t>
  </si>
  <si>
    <t>DP 214</t>
  </si>
  <si>
    <t>DP 215</t>
  </si>
  <si>
    <t>DP 216</t>
  </si>
  <si>
    <t>DP 217</t>
  </si>
  <si>
    <t>DP 218</t>
  </si>
  <si>
    <t>DP 219</t>
  </si>
  <si>
    <t>DP 220</t>
  </si>
  <si>
    <t>DP 221</t>
  </si>
  <si>
    <t>DP 222</t>
  </si>
  <si>
    <t>DP 223</t>
  </si>
  <si>
    <t>DP 224</t>
  </si>
  <si>
    <t>DP 225</t>
  </si>
  <si>
    <t>DP 226</t>
  </si>
  <si>
    <t>DP 227</t>
  </si>
  <si>
    <t>DP 228</t>
  </si>
  <si>
    <t>DP 229</t>
  </si>
  <si>
    <t>DP 230</t>
  </si>
  <si>
    <t>DP 231</t>
  </si>
  <si>
    <t>DP 232</t>
  </si>
  <si>
    <t>DP 233</t>
  </si>
  <si>
    <t>DP 234</t>
  </si>
  <si>
    <t>DP 235</t>
  </si>
  <si>
    <t>DP 236</t>
  </si>
  <si>
    <t>DP 237</t>
  </si>
  <si>
    <t>DP 238</t>
  </si>
  <si>
    <t>DP 239</t>
  </si>
  <si>
    <t>DP 240</t>
  </si>
  <si>
    <t>DP 241</t>
  </si>
  <si>
    <t>DP 242</t>
  </si>
  <si>
    <t>DP 243</t>
  </si>
  <si>
    <t>DP 244</t>
  </si>
  <si>
    <t>DP 245</t>
  </si>
  <si>
    <t>DP 246</t>
  </si>
  <si>
    <t>DP 247</t>
  </si>
  <si>
    <t>DP 248</t>
  </si>
  <si>
    <t>DP 249</t>
  </si>
  <si>
    <t>Pred Stress [MPa]</t>
  </si>
  <si>
    <t>Pred Volume [mm3]</t>
  </si>
  <si>
    <t>Target Displacement [mm]</t>
  </si>
  <si>
    <t>Stress Relative Error [%]</t>
  </si>
  <si>
    <t>Volume Relative Error [%]</t>
  </si>
  <si>
    <t>DP 250</t>
  </si>
  <si>
    <t>DP 251</t>
  </si>
  <si>
    <t>DP 252</t>
  </si>
  <si>
    <t>DP 253</t>
  </si>
  <si>
    <t>DP 254</t>
  </si>
  <si>
    <t>DP 255</t>
  </si>
  <si>
    <t>DP 256</t>
  </si>
  <si>
    <t>DP 257</t>
  </si>
  <si>
    <t>DP 258</t>
  </si>
  <si>
    <t>DP 259</t>
  </si>
  <si>
    <t>DP 260</t>
  </si>
  <si>
    <t>DP 261</t>
  </si>
  <si>
    <t>DP 262</t>
  </si>
  <si>
    <t>DP 263</t>
  </si>
  <si>
    <t>DP 264</t>
  </si>
  <si>
    <t>DP 265</t>
  </si>
  <si>
    <t>DP 266</t>
  </si>
  <si>
    <t>DP 267</t>
  </si>
  <si>
    <t>DP 268</t>
  </si>
  <si>
    <t>DP 269</t>
  </si>
  <si>
    <t>DP 270</t>
  </si>
  <si>
    <t>DP 271</t>
  </si>
  <si>
    <t>DP 272</t>
  </si>
  <si>
    <t>DP 273</t>
  </si>
  <si>
    <t>DP 274</t>
  </si>
  <si>
    <t>DP 275</t>
  </si>
  <si>
    <t>DP 276</t>
  </si>
  <si>
    <t>DP 277</t>
  </si>
  <si>
    <t>DP 278</t>
  </si>
  <si>
    <t>DP 279</t>
  </si>
  <si>
    <t>DP 280</t>
  </si>
  <si>
    <t>DP 281</t>
  </si>
  <si>
    <t>DP 282</t>
  </si>
  <si>
    <t>DP 283</t>
  </si>
  <si>
    <t>DP 284</t>
  </si>
  <si>
    <t>DP 285</t>
  </si>
  <si>
    <t>DP 286</t>
  </si>
  <si>
    <t>DP 287</t>
  </si>
  <si>
    <t>DP 288</t>
  </si>
  <si>
    <t>DP 289</t>
  </si>
  <si>
    <t>DP 290</t>
  </si>
  <si>
    <t>DP 291</t>
  </si>
  <si>
    <t>DP 292</t>
  </si>
  <si>
    <t>DP 293</t>
  </si>
  <si>
    <t>DP 294</t>
  </si>
  <si>
    <t>DP 295</t>
  </si>
  <si>
    <t>DP 296</t>
  </si>
  <si>
    <t>DP 297</t>
  </si>
  <si>
    <t>DP 298</t>
  </si>
  <si>
    <t>DP 299</t>
  </si>
  <si>
    <t>DP 300</t>
  </si>
  <si>
    <t>DP 301</t>
  </si>
  <si>
    <t>DP 302</t>
  </si>
  <si>
    <t>DP 303</t>
  </si>
  <si>
    <t>DP 304</t>
  </si>
  <si>
    <t>DP 305</t>
  </si>
  <si>
    <t>DP 306</t>
  </si>
  <si>
    <t>DP 307</t>
  </si>
  <si>
    <t>DP 308</t>
  </si>
  <si>
    <t>DP 309</t>
  </si>
  <si>
    <t>DP 310</t>
  </si>
  <si>
    <t>DP 311</t>
  </si>
  <si>
    <t>DP 312</t>
  </si>
  <si>
    <t>DP 313</t>
  </si>
  <si>
    <t>DP 314</t>
  </si>
  <si>
    <t>DP 315</t>
  </si>
  <si>
    <t>DP 316</t>
  </si>
  <si>
    <t>DP 317</t>
  </si>
  <si>
    <t>DP 318</t>
  </si>
  <si>
    <t>DP 319</t>
  </si>
  <si>
    <t>DP 320</t>
  </si>
  <si>
    <t>DP 321</t>
  </si>
  <si>
    <t>DP 322</t>
  </si>
  <si>
    <t>DP 323</t>
  </si>
  <si>
    <t>DP 324</t>
  </si>
  <si>
    <t>DP 325</t>
  </si>
  <si>
    <t>DP 326</t>
  </si>
  <si>
    <t>DP 327</t>
  </si>
  <si>
    <t>DP 328</t>
  </si>
  <si>
    <t>DP 329</t>
  </si>
  <si>
    <t>DP 330</t>
  </si>
  <si>
    <t>DP 331</t>
  </si>
  <si>
    <t>DP 332</t>
  </si>
  <si>
    <t>DP 333</t>
  </si>
  <si>
    <t>DP 334</t>
  </si>
  <si>
    <t>DP 335</t>
  </si>
  <si>
    <t>DP 336</t>
  </si>
  <si>
    <t>DP 337</t>
  </si>
  <si>
    <t>DP 338</t>
  </si>
  <si>
    <t>DP 339</t>
  </si>
  <si>
    <t>DP 340</t>
  </si>
  <si>
    <t>DP 341</t>
  </si>
  <si>
    <t>DP 342</t>
  </si>
  <si>
    <t>DP 343</t>
  </si>
  <si>
    <t>DP 344</t>
  </si>
  <si>
    <t>DP 345</t>
  </si>
  <si>
    <t>DP 346</t>
  </si>
  <si>
    <t>DP 347</t>
  </si>
  <si>
    <t>DP 348</t>
  </si>
  <si>
    <t>DP 349</t>
  </si>
  <si>
    <t>DP 350</t>
  </si>
  <si>
    <t>DP 351</t>
  </si>
  <si>
    <t>DP 352</t>
  </si>
  <si>
    <t>DP 353</t>
  </si>
  <si>
    <t>DP 354</t>
  </si>
  <si>
    <t>DP 355</t>
  </si>
  <si>
    <t>DP 356</t>
  </si>
  <si>
    <t>DP 357</t>
  </si>
  <si>
    <t>DP 358</t>
  </si>
  <si>
    <t>DP 359</t>
  </si>
  <si>
    <t>DP 360</t>
  </si>
  <si>
    <t>DP 361</t>
  </si>
  <si>
    <t>DP 362</t>
  </si>
  <si>
    <t>DP 363</t>
  </si>
  <si>
    <t>DP 364</t>
  </si>
  <si>
    <t>DP 365</t>
  </si>
  <si>
    <t>DP 366</t>
  </si>
  <si>
    <t>DP 367</t>
  </si>
  <si>
    <t>DP 368</t>
  </si>
  <si>
    <t>DP 369</t>
  </si>
  <si>
    <t>DP 370</t>
  </si>
  <si>
    <t>DP 371</t>
  </si>
  <si>
    <t>DP 372</t>
  </si>
  <si>
    <t>DP 373</t>
  </si>
  <si>
    <t>DP 374</t>
  </si>
  <si>
    <t>DP 375</t>
  </si>
  <si>
    <t>DP 376</t>
  </si>
  <si>
    <t>DP 377</t>
  </si>
  <si>
    <t>DP 378</t>
  </si>
  <si>
    <t>DP 379</t>
  </si>
  <si>
    <t>DP 380</t>
  </si>
  <si>
    <t>DP 381</t>
  </si>
  <si>
    <t>DP 382</t>
  </si>
  <si>
    <t>DP 383</t>
  </si>
  <si>
    <t>DP 384</t>
  </si>
  <si>
    <t>DP 385</t>
  </si>
  <si>
    <t>DP 386</t>
  </si>
  <si>
    <t>DP 387</t>
  </si>
  <si>
    <t>DP 388</t>
  </si>
  <si>
    <t>DP 389</t>
  </si>
  <si>
    <t>DP 390</t>
  </si>
  <si>
    <t>DP 391</t>
  </si>
  <si>
    <t>DP 392</t>
  </si>
  <si>
    <t>DP 393</t>
  </si>
  <si>
    <t>DP 394</t>
  </si>
  <si>
    <t>DP 395</t>
  </si>
  <si>
    <t>DP 396</t>
  </si>
  <si>
    <t>DP 397</t>
  </si>
  <si>
    <t>DP 398</t>
  </si>
  <si>
    <t>DP 399</t>
  </si>
  <si>
    <t>DP 400</t>
  </si>
  <si>
    <t>DP 401</t>
  </si>
  <si>
    <t>DP 402</t>
  </si>
  <si>
    <t>DP 403</t>
  </si>
  <si>
    <t>DP 404</t>
  </si>
  <si>
    <t>DP 405</t>
  </si>
  <si>
    <t>DP 406</t>
  </si>
  <si>
    <t>DP 407</t>
  </si>
  <si>
    <t>DP 408</t>
  </si>
  <si>
    <t>DP 409</t>
  </si>
  <si>
    <t>DP 410</t>
  </si>
  <si>
    <t>DP 411</t>
  </si>
  <si>
    <t>DP 412</t>
  </si>
  <si>
    <t>DP 413</t>
  </si>
  <si>
    <t>DP 414</t>
  </si>
  <si>
    <t>DP 415</t>
  </si>
  <si>
    <t>DP 416</t>
  </si>
  <si>
    <t>DP 417</t>
  </si>
  <si>
    <t>DP 418</t>
  </si>
  <si>
    <t>DP 419</t>
  </si>
  <si>
    <t>DP 420</t>
  </si>
  <si>
    <t>DP 421</t>
  </si>
  <si>
    <t>DP 422</t>
  </si>
  <si>
    <t>DP 423</t>
  </si>
  <si>
    <t>DP 424</t>
  </si>
  <si>
    <t>DP 425</t>
  </si>
  <si>
    <t>DP 426</t>
  </si>
  <si>
    <t>DP 427</t>
  </si>
  <si>
    <t>DP 428</t>
  </si>
  <si>
    <t>DP 429</t>
  </si>
  <si>
    <t>DP 430</t>
  </si>
  <si>
    <t>DP 431</t>
  </si>
  <si>
    <t>DP 432</t>
  </si>
  <si>
    <t>DP 433</t>
  </si>
  <si>
    <t>DP 434</t>
  </si>
  <si>
    <t>DP 435</t>
  </si>
  <si>
    <t>DP 436</t>
  </si>
  <si>
    <t>DP 437</t>
  </si>
  <si>
    <t>DP 438</t>
  </si>
  <si>
    <t>DP 439</t>
  </si>
  <si>
    <t>DP 440</t>
  </si>
  <si>
    <t>DP 441</t>
  </si>
  <si>
    <t>DP 442</t>
  </si>
  <si>
    <t>DP 443</t>
  </si>
  <si>
    <t>DP 444</t>
  </si>
  <si>
    <t>DP 445</t>
  </si>
  <si>
    <t>DP 446</t>
  </si>
  <si>
    <t>DP 447</t>
  </si>
  <si>
    <t>DP 448</t>
  </si>
  <si>
    <t>DP 449</t>
  </si>
  <si>
    <t># 05/23/2026 17:12:02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</si>
</sst>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b/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0" borderId="10" xfId="0" applyFont="1" applyBorder="1" applyAlignment="1">
      <alignment horizontal="center" wrapText="1"/>
    </xf>
    <xf numFmtId="0" fontId="20" fillId="0" borderId="0" xfId="0" applyFont="1" applyAlignment="1">
      <alignment horizontal="center" wrapText="1"/>
    </xf>
    <xf numFmtId="0" fontId="20" fillId="0" borderId="10" xfId="0" applyFont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 vs Error</a:t>
            </a:r>
          </a:p>
        </c:rich>
      </c:tx>
      <c:layout>
        <c:manualLayout>
          <c:xMode val="edge"/>
          <c:yMode val="edge"/>
          <c:x val="0.4229790026246719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'1'!$B$8:$B$257</c:f>
              <c:numCache>
                <c:formatCode>General</c:formatCode>
                <c:ptCount val="250"/>
                <c:pt idx="0">
                  <c:v>56.3</c:v>
                </c:pt>
                <c:pt idx="1">
                  <c:v>48.5</c:v>
                </c:pt>
                <c:pt idx="2">
                  <c:v>47.6</c:v>
                </c:pt>
                <c:pt idx="3">
                  <c:v>50.3</c:v>
                </c:pt>
                <c:pt idx="4">
                  <c:v>43.5</c:v>
                </c:pt>
                <c:pt idx="5">
                  <c:v>65.2</c:v>
                </c:pt>
                <c:pt idx="6">
                  <c:v>55.4</c:v>
                </c:pt>
                <c:pt idx="7">
                  <c:v>79.400000000000006</c:v>
                </c:pt>
                <c:pt idx="8">
                  <c:v>51.4</c:v>
                </c:pt>
                <c:pt idx="9">
                  <c:v>46</c:v>
                </c:pt>
                <c:pt idx="10">
                  <c:v>79.5</c:v>
                </c:pt>
                <c:pt idx="11">
                  <c:v>70.8</c:v>
                </c:pt>
                <c:pt idx="12">
                  <c:v>84.6</c:v>
                </c:pt>
                <c:pt idx="13">
                  <c:v>56.3</c:v>
                </c:pt>
                <c:pt idx="14">
                  <c:v>62.4</c:v>
                </c:pt>
                <c:pt idx="15">
                  <c:v>57</c:v>
                </c:pt>
                <c:pt idx="16">
                  <c:v>47.7</c:v>
                </c:pt>
                <c:pt idx="17">
                  <c:v>64.900000000000006</c:v>
                </c:pt>
                <c:pt idx="18">
                  <c:v>60.1</c:v>
                </c:pt>
                <c:pt idx="19">
                  <c:v>55.7</c:v>
                </c:pt>
                <c:pt idx="20">
                  <c:v>63.6</c:v>
                </c:pt>
                <c:pt idx="21">
                  <c:v>70.5</c:v>
                </c:pt>
                <c:pt idx="22">
                  <c:v>65.900000000000006</c:v>
                </c:pt>
                <c:pt idx="23">
                  <c:v>89.7</c:v>
                </c:pt>
                <c:pt idx="24">
                  <c:v>79.599999999999994</c:v>
                </c:pt>
                <c:pt idx="25">
                  <c:v>56.8</c:v>
                </c:pt>
                <c:pt idx="26">
                  <c:v>87.4</c:v>
                </c:pt>
                <c:pt idx="27">
                  <c:v>82.9</c:v>
                </c:pt>
                <c:pt idx="28">
                  <c:v>73.8</c:v>
                </c:pt>
                <c:pt idx="29">
                  <c:v>73.599999999999994</c:v>
                </c:pt>
                <c:pt idx="30">
                  <c:v>74</c:v>
                </c:pt>
                <c:pt idx="31">
                  <c:v>63.5</c:v>
                </c:pt>
                <c:pt idx="32">
                  <c:v>87.4</c:v>
                </c:pt>
                <c:pt idx="33">
                  <c:v>43.5</c:v>
                </c:pt>
                <c:pt idx="34">
                  <c:v>55.6</c:v>
                </c:pt>
                <c:pt idx="35">
                  <c:v>84.8</c:v>
                </c:pt>
                <c:pt idx="36">
                  <c:v>54.8</c:v>
                </c:pt>
                <c:pt idx="37">
                  <c:v>40.299999999999997</c:v>
                </c:pt>
                <c:pt idx="38">
                  <c:v>70</c:v>
                </c:pt>
                <c:pt idx="39">
                  <c:v>58.5</c:v>
                </c:pt>
                <c:pt idx="40">
                  <c:v>54.8</c:v>
                </c:pt>
                <c:pt idx="41">
                  <c:v>78.099999999999994</c:v>
                </c:pt>
                <c:pt idx="42">
                  <c:v>42.5</c:v>
                </c:pt>
                <c:pt idx="43">
                  <c:v>84.9</c:v>
                </c:pt>
                <c:pt idx="44">
                  <c:v>70</c:v>
                </c:pt>
                <c:pt idx="45">
                  <c:v>74.400000000000006</c:v>
                </c:pt>
                <c:pt idx="46">
                  <c:v>76.599999999999994</c:v>
                </c:pt>
                <c:pt idx="47">
                  <c:v>47.2</c:v>
                </c:pt>
                <c:pt idx="48">
                  <c:v>61.4</c:v>
                </c:pt>
                <c:pt idx="49">
                  <c:v>82.5</c:v>
                </c:pt>
                <c:pt idx="50">
                  <c:v>64</c:v>
                </c:pt>
                <c:pt idx="51">
                  <c:v>67.900000000000006</c:v>
                </c:pt>
                <c:pt idx="52">
                  <c:v>60</c:v>
                </c:pt>
                <c:pt idx="53">
                  <c:v>43.4</c:v>
                </c:pt>
                <c:pt idx="54">
                  <c:v>52.1</c:v>
                </c:pt>
                <c:pt idx="55">
                  <c:v>82.1</c:v>
                </c:pt>
                <c:pt idx="56">
                  <c:v>85.8</c:v>
                </c:pt>
                <c:pt idx="57">
                  <c:v>63.5</c:v>
                </c:pt>
                <c:pt idx="58">
                  <c:v>47.4</c:v>
                </c:pt>
                <c:pt idx="59">
                  <c:v>51.6</c:v>
                </c:pt>
                <c:pt idx="60">
                  <c:v>42</c:v>
                </c:pt>
                <c:pt idx="61">
                  <c:v>73.2</c:v>
                </c:pt>
                <c:pt idx="62">
                  <c:v>86.8</c:v>
                </c:pt>
                <c:pt idx="63">
                  <c:v>79.400000000000006</c:v>
                </c:pt>
                <c:pt idx="64">
                  <c:v>84.5</c:v>
                </c:pt>
                <c:pt idx="65">
                  <c:v>69.3</c:v>
                </c:pt>
                <c:pt idx="66">
                  <c:v>75.400000000000006</c:v>
                </c:pt>
                <c:pt idx="67">
                  <c:v>52.3</c:v>
                </c:pt>
                <c:pt idx="68">
                  <c:v>84.1</c:v>
                </c:pt>
                <c:pt idx="69">
                  <c:v>52.5</c:v>
                </c:pt>
                <c:pt idx="70">
                  <c:v>65.5</c:v>
                </c:pt>
                <c:pt idx="71">
                  <c:v>61.3</c:v>
                </c:pt>
                <c:pt idx="72">
                  <c:v>65.8</c:v>
                </c:pt>
                <c:pt idx="73">
                  <c:v>56.8</c:v>
                </c:pt>
                <c:pt idx="74">
                  <c:v>77</c:v>
                </c:pt>
                <c:pt idx="75">
                  <c:v>60.1</c:v>
                </c:pt>
                <c:pt idx="76">
                  <c:v>84.3</c:v>
                </c:pt>
                <c:pt idx="77">
                  <c:v>67.099999999999994</c:v>
                </c:pt>
                <c:pt idx="78">
                  <c:v>40.299999999999997</c:v>
                </c:pt>
                <c:pt idx="79">
                  <c:v>83.2</c:v>
                </c:pt>
                <c:pt idx="80">
                  <c:v>57.1</c:v>
                </c:pt>
                <c:pt idx="81">
                  <c:v>68.7</c:v>
                </c:pt>
                <c:pt idx="82">
                  <c:v>41.3</c:v>
                </c:pt>
                <c:pt idx="83">
                  <c:v>61.1</c:v>
                </c:pt>
                <c:pt idx="84">
                  <c:v>51.5</c:v>
                </c:pt>
                <c:pt idx="85">
                  <c:v>53.9</c:v>
                </c:pt>
                <c:pt idx="86">
                  <c:v>86.8</c:v>
                </c:pt>
                <c:pt idx="87">
                  <c:v>65.5</c:v>
                </c:pt>
                <c:pt idx="88">
                  <c:v>84.8</c:v>
                </c:pt>
                <c:pt idx="89">
                  <c:v>49.6</c:v>
                </c:pt>
                <c:pt idx="90">
                  <c:v>71.400000000000006</c:v>
                </c:pt>
                <c:pt idx="91">
                  <c:v>69.7</c:v>
                </c:pt>
                <c:pt idx="92">
                  <c:v>83.7</c:v>
                </c:pt>
                <c:pt idx="93">
                  <c:v>77.2</c:v>
                </c:pt>
                <c:pt idx="94">
                  <c:v>73.7</c:v>
                </c:pt>
                <c:pt idx="95">
                  <c:v>50.3</c:v>
                </c:pt>
                <c:pt idx="96">
                  <c:v>74.7</c:v>
                </c:pt>
                <c:pt idx="97">
                  <c:v>83.7</c:v>
                </c:pt>
                <c:pt idx="98">
                  <c:v>67.099999999999994</c:v>
                </c:pt>
                <c:pt idx="99">
                  <c:v>80.3</c:v>
                </c:pt>
                <c:pt idx="100">
                  <c:v>80.5</c:v>
                </c:pt>
                <c:pt idx="101">
                  <c:v>48.2</c:v>
                </c:pt>
                <c:pt idx="102">
                  <c:v>70.8</c:v>
                </c:pt>
                <c:pt idx="103">
                  <c:v>77.2</c:v>
                </c:pt>
                <c:pt idx="104">
                  <c:v>61.7</c:v>
                </c:pt>
                <c:pt idx="105">
                  <c:v>53.8</c:v>
                </c:pt>
                <c:pt idx="106">
                  <c:v>51.5</c:v>
                </c:pt>
                <c:pt idx="107">
                  <c:v>49.1</c:v>
                </c:pt>
                <c:pt idx="108">
                  <c:v>70.400000000000006</c:v>
                </c:pt>
                <c:pt idx="109">
                  <c:v>51.7</c:v>
                </c:pt>
                <c:pt idx="110">
                  <c:v>83.7</c:v>
                </c:pt>
                <c:pt idx="111">
                  <c:v>60.4</c:v>
                </c:pt>
                <c:pt idx="112">
                  <c:v>70.2</c:v>
                </c:pt>
                <c:pt idx="113">
                  <c:v>79.400000000000006</c:v>
                </c:pt>
                <c:pt idx="114">
                  <c:v>55.6</c:v>
                </c:pt>
                <c:pt idx="115">
                  <c:v>65.400000000000006</c:v>
                </c:pt>
                <c:pt idx="116">
                  <c:v>81.3</c:v>
                </c:pt>
                <c:pt idx="117">
                  <c:v>63.6</c:v>
                </c:pt>
                <c:pt idx="118">
                  <c:v>73.8</c:v>
                </c:pt>
                <c:pt idx="119">
                  <c:v>52.8</c:v>
                </c:pt>
                <c:pt idx="120">
                  <c:v>55.3</c:v>
                </c:pt>
                <c:pt idx="121">
                  <c:v>56.4</c:v>
                </c:pt>
                <c:pt idx="122">
                  <c:v>89.9</c:v>
                </c:pt>
                <c:pt idx="123">
                  <c:v>56.7</c:v>
                </c:pt>
                <c:pt idx="124">
                  <c:v>47.2</c:v>
                </c:pt>
                <c:pt idx="125">
                  <c:v>89.3</c:v>
                </c:pt>
                <c:pt idx="126">
                  <c:v>45</c:v>
                </c:pt>
                <c:pt idx="127">
                  <c:v>84.1</c:v>
                </c:pt>
                <c:pt idx="128">
                  <c:v>56.6</c:v>
                </c:pt>
                <c:pt idx="129">
                  <c:v>86.9</c:v>
                </c:pt>
                <c:pt idx="130">
                  <c:v>67.2</c:v>
                </c:pt>
                <c:pt idx="131">
                  <c:v>78.900000000000006</c:v>
                </c:pt>
                <c:pt idx="132">
                  <c:v>43.8</c:v>
                </c:pt>
                <c:pt idx="133">
                  <c:v>44.6</c:v>
                </c:pt>
                <c:pt idx="134">
                  <c:v>71</c:v>
                </c:pt>
                <c:pt idx="135">
                  <c:v>48</c:v>
                </c:pt>
                <c:pt idx="136">
                  <c:v>54.6</c:v>
                </c:pt>
                <c:pt idx="137">
                  <c:v>46.3</c:v>
                </c:pt>
                <c:pt idx="138">
                  <c:v>59.4</c:v>
                </c:pt>
                <c:pt idx="139">
                  <c:v>74.599999999999994</c:v>
                </c:pt>
                <c:pt idx="140">
                  <c:v>77.3</c:v>
                </c:pt>
                <c:pt idx="141">
                  <c:v>50.5</c:v>
                </c:pt>
                <c:pt idx="142">
                  <c:v>58.3</c:v>
                </c:pt>
                <c:pt idx="143">
                  <c:v>73</c:v>
                </c:pt>
                <c:pt idx="144">
                  <c:v>59.4</c:v>
                </c:pt>
                <c:pt idx="145">
                  <c:v>71.2</c:v>
                </c:pt>
                <c:pt idx="146">
                  <c:v>55.8</c:v>
                </c:pt>
                <c:pt idx="147">
                  <c:v>82.9</c:v>
                </c:pt>
                <c:pt idx="148">
                  <c:v>54.7</c:v>
                </c:pt>
                <c:pt idx="149">
                  <c:v>44.4</c:v>
                </c:pt>
                <c:pt idx="150">
                  <c:v>74.8</c:v>
                </c:pt>
                <c:pt idx="151">
                  <c:v>71.2</c:v>
                </c:pt>
                <c:pt idx="152">
                  <c:v>83</c:v>
                </c:pt>
                <c:pt idx="153">
                  <c:v>78.5</c:v>
                </c:pt>
                <c:pt idx="154">
                  <c:v>75.5</c:v>
                </c:pt>
                <c:pt idx="155">
                  <c:v>47.5</c:v>
                </c:pt>
                <c:pt idx="156">
                  <c:v>84.9</c:v>
                </c:pt>
                <c:pt idx="157">
                  <c:v>54.1</c:v>
                </c:pt>
                <c:pt idx="158">
                  <c:v>41.8</c:v>
                </c:pt>
                <c:pt idx="159">
                  <c:v>55.3</c:v>
                </c:pt>
                <c:pt idx="160">
                  <c:v>53</c:v>
                </c:pt>
                <c:pt idx="161">
                  <c:v>83.4</c:v>
                </c:pt>
                <c:pt idx="162">
                  <c:v>59.2</c:v>
                </c:pt>
                <c:pt idx="163">
                  <c:v>56.8</c:v>
                </c:pt>
                <c:pt idx="164">
                  <c:v>52.3</c:v>
                </c:pt>
                <c:pt idx="165">
                  <c:v>44.7</c:v>
                </c:pt>
                <c:pt idx="166">
                  <c:v>54.1</c:v>
                </c:pt>
                <c:pt idx="167">
                  <c:v>72.900000000000006</c:v>
                </c:pt>
                <c:pt idx="168">
                  <c:v>43</c:v>
                </c:pt>
                <c:pt idx="169">
                  <c:v>87.8</c:v>
                </c:pt>
                <c:pt idx="170">
                  <c:v>70.7</c:v>
                </c:pt>
                <c:pt idx="171">
                  <c:v>51.7</c:v>
                </c:pt>
                <c:pt idx="172">
                  <c:v>44.9</c:v>
                </c:pt>
                <c:pt idx="173">
                  <c:v>78.900000000000006</c:v>
                </c:pt>
                <c:pt idx="174">
                  <c:v>89</c:v>
                </c:pt>
                <c:pt idx="175">
                  <c:v>75.900000000000006</c:v>
                </c:pt>
                <c:pt idx="176">
                  <c:v>50.6</c:v>
                </c:pt>
                <c:pt idx="177">
                  <c:v>83.1</c:v>
                </c:pt>
                <c:pt idx="178">
                  <c:v>45.4</c:v>
                </c:pt>
                <c:pt idx="179">
                  <c:v>77.099999999999994</c:v>
                </c:pt>
                <c:pt idx="180">
                  <c:v>78</c:v>
                </c:pt>
                <c:pt idx="181">
                  <c:v>69.7</c:v>
                </c:pt>
                <c:pt idx="182">
                  <c:v>87.3</c:v>
                </c:pt>
                <c:pt idx="183">
                  <c:v>79.400000000000006</c:v>
                </c:pt>
                <c:pt idx="184">
                  <c:v>57.9</c:v>
                </c:pt>
                <c:pt idx="185">
                  <c:v>75.400000000000006</c:v>
                </c:pt>
                <c:pt idx="186">
                  <c:v>44.3</c:v>
                </c:pt>
                <c:pt idx="187">
                  <c:v>63.5</c:v>
                </c:pt>
                <c:pt idx="188">
                  <c:v>77.8</c:v>
                </c:pt>
                <c:pt idx="189">
                  <c:v>63</c:v>
                </c:pt>
                <c:pt idx="190">
                  <c:v>50.3</c:v>
                </c:pt>
                <c:pt idx="191">
                  <c:v>75.099999999999994</c:v>
                </c:pt>
                <c:pt idx="192">
                  <c:v>47.3</c:v>
                </c:pt>
                <c:pt idx="193">
                  <c:v>59.4</c:v>
                </c:pt>
                <c:pt idx="194">
                  <c:v>84.6</c:v>
                </c:pt>
                <c:pt idx="195">
                  <c:v>70.3</c:v>
                </c:pt>
                <c:pt idx="196">
                  <c:v>58.2</c:v>
                </c:pt>
                <c:pt idx="197">
                  <c:v>82.9</c:v>
                </c:pt>
                <c:pt idx="198">
                  <c:v>41.6</c:v>
                </c:pt>
                <c:pt idx="199">
                  <c:v>69.3</c:v>
                </c:pt>
                <c:pt idx="200">
                  <c:v>51.9</c:v>
                </c:pt>
                <c:pt idx="201">
                  <c:v>50.7</c:v>
                </c:pt>
                <c:pt idx="202">
                  <c:v>73.900000000000006</c:v>
                </c:pt>
                <c:pt idx="203">
                  <c:v>41.8</c:v>
                </c:pt>
                <c:pt idx="204">
                  <c:v>63.7</c:v>
                </c:pt>
                <c:pt idx="205">
                  <c:v>40.799999999999997</c:v>
                </c:pt>
                <c:pt idx="206">
                  <c:v>40.799999999999997</c:v>
                </c:pt>
                <c:pt idx="207">
                  <c:v>68.8</c:v>
                </c:pt>
                <c:pt idx="208">
                  <c:v>56.2</c:v>
                </c:pt>
                <c:pt idx="209">
                  <c:v>81.2</c:v>
                </c:pt>
                <c:pt idx="210">
                  <c:v>44</c:v>
                </c:pt>
                <c:pt idx="211">
                  <c:v>62.9</c:v>
                </c:pt>
                <c:pt idx="212">
                  <c:v>83.1</c:v>
                </c:pt>
                <c:pt idx="213">
                  <c:v>68.8</c:v>
                </c:pt>
                <c:pt idx="214">
                  <c:v>51.7</c:v>
                </c:pt>
                <c:pt idx="215">
                  <c:v>61.9</c:v>
                </c:pt>
                <c:pt idx="216">
                  <c:v>66.900000000000006</c:v>
                </c:pt>
                <c:pt idx="217">
                  <c:v>64.2</c:v>
                </c:pt>
                <c:pt idx="218">
                  <c:v>81.8</c:v>
                </c:pt>
                <c:pt idx="219">
                  <c:v>46.9</c:v>
                </c:pt>
                <c:pt idx="220">
                  <c:v>54.8</c:v>
                </c:pt>
                <c:pt idx="221">
                  <c:v>42.9</c:v>
                </c:pt>
                <c:pt idx="222">
                  <c:v>84.4</c:v>
                </c:pt>
                <c:pt idx="223">
                  <c:v>77.3</c:v>
                </c:pt>
                <c:pt idx="224">
                  <c:v>44.6</c:v>
                </c:pt>
                <c:pt idx="225">
                  <c:v>58.8</c:v>
                </c:pt>
                <c:pt idx="226">
                  <c:v>47.2</c:v>
                </c:pt>
                <c:pt idx="227">
                  <c:v>51.9</c:v>
                </c:pt>
                <c:pt idx="228">
                  <c:v>51.9</c:v>
                </c:pt>
                <c:pt idx="229">
                  <c:v>43.5</c:v>
                </c:pt>
                <c:pt idx="230">
                  <c:v>71.5</c:v>
                </c:pt>
                <c:pt idx="231">
                  <c:v>60</c:v>
                </c:pt>
                <c:pt idx="232">
                  <c:v>60.5</c:v>
                </c:pt>
                <c:pt idx="233">
                  <c:v>61</c:v>
                </c:pt>
                <c:pt idx="234">
                  <c:v>73.400000000000006</c:v>
                </c:pt>
                <c:pt idx="235">
                  <c:v>85.2</c:v>
                </c:pt>
                <c:pt idx="236">
                  <c:v>62.1</c:v>
                </c:pt>
                <c:pt idx="237">
                  <c:v>85.9</c:v>
                </c:pt>
                <c:pt idx="238">
                  <c:v>55.8</c:v>
                </c:pt>
                <c:pt idx="239">
                  <c:v>88.8</c:v>
                </c:pt>
                <c:pt idx="240">
                  <c:v>68.7</c:v>
                </c:pt>
                <c:pt idx="241">
                  <c:v>72.3</c:v>
                </c:pt>
                <c:pt idx="242">
                  <c:v>68.2</c:v>
                </c:pt>
                <c:pt idx="243">
                  <c:v>51.6</c:v>
                </c:pt>
                <c:pt idx="244">
                  <c:v>50.6</c:v>
                </c:pt>
                <c:pt idx="245">
                  <c:v>64.8</c:v>
                </c:pt>
                <c:pt idx="246">
                  <c:v>86</c:v>
                </c:pt>
                <c:pt idx="247">
                  <c:v>58.9</c:v>
                </c:pt>
                <c:pt idx="248">
                  <c:v>67.5</c:v>
                </c:pt>
                <c:pt idx="249">
                  <c:v>77.599999999999994</c:v>
                </c:pt>
              </c:numCache>
            </c:numRef>
          </c:xVal>
          <c:yVal>
            <c:numRef>
              <c:f>'1'!$L$8:$L$257</c:f>
              <c:numCache>
                <c:formatCode>0.00</c:formatCode>
                <c:ptCount val="250"/>
                <c:pt idx="0">
                  <c:v>6.8258210172966445</c:v>
                </c:pt>
                <c:pt idx="1">
                  <c:v>1.1331286998419134</c:v>
                </c:pt>
                <c:pt idx="2">
                  <c:v>2.7032278606579205</c:v>
                </c:pt>
                <c:pt idx="3">
                  <c:v>3.2755881304891599E-2</c:v>
                </c:pt>
                <c:pt idx="4">
                  <c:v>7.762444807209774</c:v>
                </c:pt>
                <c:pt idx="5">
                  <c:v>3.6251558723360713</c:v>
                </c:pt>
                <c:pt idx="6">
                  <c:v>-4.5857089944937135</c:v>
                </c:pt>
                <c:pt idx="7">
                  <c:v>-4.368723037133619</c:v>
                </c:pt>
                <c:pt idx="8">
                  <c:v>6.5116539984581028</c:v>
                </c:pt>
                <c:pt idx="9">
                  <c:v>2.9486921610844723</c:v>
                </c:pt>
                <c:pt idx="10">
                  <c:v>5.9972582519351292</c:v>
                </c:pt>
                <c:pt idx="11">
                  <c:v>17.71002332418233</c:v>
                </c:pt>
                <c:pt idx="12">
                  <c:v>9.5995627790875222</c:v>
                </c:pt>
                <c:pt idx="13">
                  <c:v>11.529797720257287</c:v>
                </c:pt>
                <c:pt idx="14">
                  <c:v>8.0864464347838089E-2</c:v>
                </c:pt>
                <c:pt idx="15">
                  <c:v>14.664576561021542</c:v>
                </c:pt>
                <c:pt idx="16">
                  <c:v>1.766635425526013</c:v>
                </c:pt>
                <c:pt idx="17">
                  <c:v>9.8757716823126884</c:v>
                </c:pt>
                <c:pt idx="18">
                  <c:v>9.4753918710357574</c:v>
                </c:pt>
                <c:pt idx="19">
                  <c:v>9.6214916582311932E-2</c:v>
                </c:pt>
                <c:pt idx="20">
                  <c:v>3.797736124086998</c:v>
                </c:pt>
                <c:pt idx="21">
                  <c:v>-1.0301705988579613</c:v>
                </c:pt>
                <c:pt idx="22">
                  <c:v>4.3372604171435025</c:v>
                </c:pt>
                <c:pt idx="23">
                  <c:v>-1.1386509291907871</c:v>
                </c:pt>
                <c:pt idx="24">
                  <c:v>4.4393843572933012</c:v>
                </c:pt>
                <c:pt idx="25">
                  <c:v>10.487995094584113</c:v>
                </c:pt>
                <c:pt idx="26">
                  <c:v>-2.2207019305082083</c:v>
                </c:pt>
                <c:pt idx="27">
                  <c:v>3.89244150368968</c:v>
                </c:pt>
                <c:pt idx="28">
                  <c:v>4.6250412460508743</c:v>
                </c:pt>
                <c:pt idx="29">
                  <c:v>4.7198270183033584</c:v>
                </c:pt>
                <c:pt idx="30">
                  <c:v>6.6376270926520746</c:v>
                </c:pt>
                <c:pt idx="31">
                  <c:v>-1.6603807561165942</c:v>
                </c:pt>
                <c:pt idx="32">
                  <c:v>11.052518338698901</c:v>
                </c:pt>
                <c:pt idx="33">
                  <c:v>10.471660955592069</c:v>
                </c:pt>
                <c:pt idx="34">
                  <c:v>-8.4308092769483753</c:v>
                </c:pt>
                <c:pt idx="35">
                  <c:v>13.769267570178586</c:v>
                </c:pt>
                <c:pt idx="36">
                  <c:v>-1.4121393020837711</c:v>
                </c:pt>
                <c:pt idx="37">
                  <c:v>2.5766108258011426</c:v>
                </c:pt>
                <c:pt idx="38">
                  <c:v>1.6244911362853527</c:v>
                </c:pt>
                <c:pt idx="39">
                  <c:v>18.089228358091329</c:v>
                </c:pt>
                <c:pt idx="40">
                  <c:v>1.5929810842066905</c:v>
                </c:pt>
                <c:pt idx="41">
                  <c:v>3.2840761395357534</c:v>
                </c:pt>
                <c:pt idx="42">
                  <c:v>23.294104879484991</c:v>
                </c:pt>
                <c:pt idx="43">
                  <c:v>-1.6039079340220894</c:v>
                </c:pt>
                <c:pt idx="44">
                  <c:v>16.304934562082369</c:v>
                </c:pt>
                <c:pt idx="45">
                  <c:v>13.234660654535373</c:v>
                </c:pt>
                <c:pt idx="46">
                  <c:v>2.5798851913281484</c:v>
                </c:pt>
                <c:pt idx="47">
                  <c:v>18.42908345967405</c:v>
                </c:pt>
                <c:pt idx="48">
                  <c:v>-3.1846833169172313</c:v>
                </c:pt>
                <c:pt idx="49">
                  <c:v>7.2014591518714575</c:v>
                </c:pt>
                <c:pt idx="50">
                  <c:v>1.9238867724868727</c:v>
                </c:pt>
                <c:pt idx="51">
                  <c:v>1.5140313115897059</c:v>
                </c:pt>
                <c:pt idx="52">
                  <c:v>-2.2033817453028472</c:v>
                </c:pt>
                <c:pt idx="53">
                  <c:v>-21.635412468199565</c:v>
                </c:pt>
                <c:pt idx="54">
                  <c:v>-5.3044515799055329E-2</c:v>
                </c:pt>
                <c:pt idx="55">
                  <c:v>0.68249834827240996</c:v>
                </c:pt>
                <c:pt idx="56">
                  <c:v>3.6362517141928055</c:v>
                </c:pt>
                <c:pt idx="57">
                  <c:v>4.0785013546370266</c:v>
                </c:pt>
                <c:pt idx="58">
                  <c:v>4.2699510058087382</c:v>
                </c:pt>
                <c:pt idx="59">
                  <c:v>4.6291655710681461</c:v>
                </c:pt>
                <c:pt idx="60">
                  <c:v>13.579822314274928</c:v>
                </c:pt>
                <c:pt idx="61">
                  <c:v>2.2029192230361296</c:v>
                </c:pt>
                <c:pt idx="62">
                  <c:v>7.0068056545918838</c:v>
                </c:pt>
                <c:pt idx="63">
                  <c:v>4.3007111928788246</c:v>
                </c:pt>
                <c:pt idx="64">
                  <c:v>3.6070282193108989</c:v>
                </c:pt>
                <c:pt idx="65">
                  <c:v>0.43055059313023325</c:v>
                </c:pt>
                <c:pt idx="66">
                  <c:v>1.7354067717139887</c:v>
                </c:pt>
                <c:pt idx="67">
                  <c:v>9.4541646030910638</c:v>
                </c:pt>
                <c:pt idx="68">
                  <c:v>1.6486059116061471</c:v>
                </c:pt>
                <c:pt idx="69">
                  <c:v>2.2353222623153828</c:v>
                </c:pt>
                <c:pt idx="70">
                  <c:v>-0.94969469190613121</c:v>
                </c:pt>
                <c:pt idx="71">
                  <c:v>-3.0087340610791413</c:v>
                </c:pt>
                <c:pt idx="72">
                  <c:v>2.4923477349228182</c:v>
                </c:pt>
                <c:pt idx="73">
                  <c:v>16.551588279615402</c:v>
                </c:pt>
                <c:pt idx="74">
                  <c:v>9.2722368173753278</c:v>
                </c:pt>
                <c:pt idx="75">
                  <c:v>6.7389448663502325</c:v>
                </c:pt>
                <c:pt idx="76">
                  <c:v>9.3216450380099491</c:v>
                </c:pt>
                <c:pt idx="77">
                  <c:v>20.40035663141839</c:v>
                </c:pt>
                <c:pt idx="78">
                  <c:v>1.9398145384726853</c:v>
                </c:pt>
                <c:pt idx="79">
                  <c:v>-5.7022936646941389</c:v>
                </c:pt>
                <c:pt idx="80">
                  <c:v>-3.9619855641899702</c:v>
                </c:pt>
                <c:pt idx="81">
                  <c:v>5.619434462059667</c:v>
                </c:pt>
                <c:pt idx="82">
                  <c:v>22.465284133896954</c:v>
                </c:pt>
                <c:pt idx="83">
                  <c:v>4.274404368455202</c:v>
                </c:pt>
                <c:pt idx="84">
                  <c:v>1.7525587562592526</c:v>
                </c:pt>
                <c:pt idx="85">
                  <c:v>9.3811820649962581</c:v>
                </c:pt>
                <c:pt idx="86">
                  <c:v>10.090799919367891</c:v>
                </c:pt>
                <c:pt idx="87">
                  <c:v>2.5120016794475157</c:v>
                </c:pt>
                <c:pt idx="88">
                  <c:v>4.4114014811297446</c:v>
                </c:pt>
                <c:pt idx="89">
                  <c:v>4.4404689092087972</c:v>
                </c:pt>
                <c:pt idx="90">
                  <c:v>3.8968464209155536</c:v>
                </c:pt>
                <c:pt idx="91">
                  <c:v>-2.9740063018541241</c:v>
                </c:pt>
                <c:pt idx="92">
                  <c:v>-2.6756645277122573</c:v>
                </c:pt>
                <c:pt idx="93">
                  <c:v>-0.63860641151546094</c:v>
                </c:pt>
                <c:pt idx="94">
                  <c:v>3.2969231825749854</c:v>
                </c:pt>
                <c:pt idx="95">
                  <c:v>3.6365081957349896</c:v>
                </c:pt>
                <c:pt idx="96">
                  <c:v>4.5030104895067851</c:v>
                </c:pt>
                <c:pt idx="97">
                  <c:v>-3.869403518725123</c:v>
                </c:pt>
                <c:pt idx="98">
                  <c:v>11.846010543682569</c:v>
                </c:pt>
                <c:pt idx="99">
                  <c:v>7.2483125915284194</c:v>
                </c:pt>
                <c:pt idx="100">
                  <c:v>8.0192993413784226</c:v>
                </c:pt>
                <c:pt idx="101">
                  <c:v>2.7581840419331356</c:v>
                </c:pt>
                <c:pt idx="102">
                  <c:v>1.0984752934912956</c:v>
                </c:pt>
                <c:pt idx="103">
                  <c:v>7.4994022520187125</c:v>
                </c:pt>
                <c:pt idx="104">
                  <c:v>9.5493967080194704</c:v>
                </c:pt>
                <c:pt idx="105">
                  <c:v>15.636689788097453</c:v>
                </c:pt>
                <c:pt idx="106">
                  <c:v>0.69777380979115589</c:v>
                </c:pt>
                <c:pt idx="107">
                  <c:v>2.2091221121273503</c:v>
                </c:pt>
                <c:pt idx="108">
                  <c:v>8.7831041709631883</c:v>
                </c:pt>
                <c:pt idx="109">
                  <c:v>7.0366182135528978</c:v>
                </c:pt>
                <c:pt idx="110">
                  <c:v>6.3548381521317241</c:v>
                </c:pt>
                <c:pt idx="111">
                  <c:v>10.516991973775939</c:v>
                </c:pt>
                <c:pt idx="112">
                  <c:v>4.8866117637622608</c:v>
                </c:pt>
                <c:pt idx="113">
                  <c:v>-6.5680656126911057</c:v>
                </c:pt>
                <c:pt idx="114">
                  <c:v>17.123843746812785</c:v>
                </c:pt>
                <c:pt idx="115">
                  <c:v>9.551077865389713</c:v>
                </c:pt>
                <c:pt idx="116">
                  <c:v>13.432468368022635</c:v>
                </c:pt>
                <c:pt idx="117">
                  <c:v>9.9105877533947897</c:v>
                </c:pt>
                <c:pt idx="118">
                  <c:v>6.5000881011557254</c:v>
                </c:pt>
                <c:pt idx="119">
                  <c:v>1.7883202230273936</c:v>
                </c:pt>
                <c:pt idx="120">
                  <c:v>-1.2597293340815603</c:v>
                </c:pt>
                <c:pt idx="121">
                  <c:v>6.5605442370569227</c:v>
                </c:pt>
                <c:pt idx="122">
                  <c:v>5.0285396723395452</c:v>
                </c:pt>
                <c:pt idx="123">
                  <c:v>8.6542885313479978</c:v>
                </c:pt>
                <c:pt idx="124">
                  <c:v>1.170779585702443</c:v>
                </c:pt>
                <c:pt idx="125">
                  <c:v>12.659398451657935</c:v>
                </c:pt>
                <c:pt idx="126">
                  <c:v>5.2515140517446355</c:v>
                </c:pt>
                <c:pt idx="127">
                  <c:v>10.538982299471952</c:v>
                </c:pt>
                <c:pt idx="128">
                  <c:v>8.6936054507258511</c:v>
                </c:pt>
                <c:pt idx="129">
                  <c:v>1.7657566900360582</c:v>
                </c:pt>
                <c:pt idx="130">
                  <c:v>0.99614752779021187</c:v>
                </c:pt>
                <c:pt idx="131">
                  <c:v>0.21554991693938574</c:v>
                </c:pt>
                <c:pt idx="132">
                  <c:v>-4.4733174781403831</c:v>
                </c:pt>
                <c:pt idx="133">
                  <c:v>11.186881818811399</c:v>
                </c:pt>
                <c:pt idx="134">
                  <c:v>-0.33907176394035632</c:v>
                </c:pt>
                <c:pt idx="135">
                  <c:v>2.1995414338374557</c:v>
                </c:pt>
                <c:pt idx="136">
                  <c:v>12.348424486638212</c:v>
                </c:pt>
                <c:pt idx="137">
                  <c:v>1.6847771907088194</c:v>
                </c:pt>
                <c:pt idx="138">
                  <c:v>1.557778041296167</c:v>
                </c:pt>
                <c:pt idx="139">
                  <c:v>3.2864304808140421</c:v>
                </c:pt>
                <c:pt idx="140">
                  <c:v>4.7864107918339176</c:v>
                </c:pt>
                <c:pt idx="141">
                  <c:v>13.550671826311833</c:v>
                </c:pt>
                <c:pt idx="142">
                  <c:v>8.7048106603818169</c:v>
                </c:pt>
                <c:pt idx="143">
                  <c:v>5.5627944638509685</c:v>
                </c:pt>
                <c:pt idx="144">
                  <c:v>16.052182442424826</c:v>
                </c:pt>
                <c:pt idx="145">
                  <c:v>6.2546425179284961</c:v>
                </c:pt>
                <c:pt idx="146">
                  <c:v>4.2935908304563739</c:v>
                </c:pt>
                <c:pt idx="147">
                  <c:v>7.2166845351730746</c:v>
                </c:pt>
                <c:pt idx="148">
                  <c:v>-9.2401234590693537</c:v>
                </c:pt>
                <c:pt idx="149">
                  <c:v>-4.2034902967375158</c:v>
                </c:pt>
                <c:pt idx="150">
                  <c:v>10.3816345273927</c:v>
                </c:pt>
                <c:pt idx="151">
                  <c:v>5.0163430603952719</c:v>
                </c:pt>
                <c:pt idx="152">
                  <c:v>9.3489358978471788</c:v>
                </c:pt>
                <c:pt idx="153">
                  <c:v>5.0487454302053338</c:v>
                </c:pt>
                <c:pt idx="154">
                  <c:v>7.4815068153042548</c:v>
                </c:pt>
                <c:pt idx="155">
                  <c:v>3.2320086328429589</c:v>
                </c:pt>
                <c:pt idx="156">
                  <c:v>7.1573305118582713</c:v>
                </c:pt>
                <c:pt idx="157">
                  <c:v>1.7599217183715308</c:v>
                </c:pt>
                <c:pt idx="158">
                  <c:v>0.30308450727952951</c:v>
                </c:pt>
                <c:pt idx="159">
                  <c:v>10.548171978353412</c:v>
                </c:pt>
                <c:pt idx="160">
                  <c:v>12.847904107158826</c:v>
                </c:pt>
                <c:pt idx="161">
                  <c:v>-12.630389297798914</c:v>
                </c:pt>
                <c:pt idx="162">
                  <c:v>2.3868613269512187</c:v>
                </c:pt>
                <c:pt idx="163">
                  <c:v>5.8524481914215825</c:v>
                </c:pt>
                <c:pt idx="164">
                  <c:v>5.7984012605808637</c:v>
                </c:pt>
                <c:pt idx="165">
                  <c:v>-1.699883970899229</c:v>
                </c:pt>
                <c:pt idx="166">
                  <c:v>9.7956388143370496</c:v>
                </c:pt>
                <c:pt idx="167">
                  <c:v>10.883505346880121</c:v>
                </c:pt>
                <c:pt idx="168">
                  <c:v>-5.5418015548528938</c:v>
                </c:pt>
                <c:pt idx="169">
                  <c:v>-0.77998006410400844</c:v>
                </c:pt>
                <c:pt idx="170">
                  <c:v>15.529236140561423</c:v>
                </c:pt>
                <c:pt idx="171">
                  <c:v>0.49286460272338339</c:v>
                </c:pt>
                <c:pt idx="172">
                  <c:v>1.7232134802081607</c:v>
                </c:pt>
                <c:pt idx="173">
                  <c:v>4.3262485475000965</c:v>
                </c:pt>
                <c:pt idx="174">
                  <c:v>-2.2181831212050906</c:v>
                </c:pt>
                <c:pt idx="175">
                  <c:v>3.5814628780210098</c:v>
                </c:pt>
                <c:pt idx="176">
                  <c:v>2.0423468011540167</c:v>
                </c:pt>
                <c:pt idx="177">
                  <c:v>-4.0793292496335578</c:v>
                </c:pt>
                <c:pt idx="178">
                  <c:v>-4.2982022124434405</c:v>
                </c:pt>
                <c:pt idx="179">
                  <c:v>5.4802112291282894</c:v>
                </c:pt>
                <c:pt idx="180">
                  <c:v>9.0605299316688974</c:v>
                </c:pt>
                <c:pt idx="181">
                  <c:v>0.59710988520170938</c:v>
                </c:pt>
                <c:pt idx="182">
                  <c:v>10.885913972449506</c:v>
                </c:pt>
                <c:pt idx="183">
                  <c:v>12.86746571123791</c:v>
                </c:pt>
                <c:pt idx="184">
                  <c:v>12.29909780784981</c:v>
                </c:pt>
                <c:pt idx="185">
                  <c:v>11.9405482408655</c:v>
                </c:pt>
                <c:pt idx="186">
                  <c:v>3.4675031563143071</c:v>
                </c:pt>
                <c:pt idx="187">
                  <c:v>1.8398494169480542</c:v>
                </c:pt>
                <c:pt idx="188">
                  <c:v>3.6504383860312384</c:v>
                </c:pt>
                <c:pt idx="189">
                  <c:v>7.4741179551225692</c:v>
                </c:pt>
                <c:pt idx="190">
                  <c:v>0.91040189156561724</c:v>
                </c:pt>
                <c:pt idx="191">
                  <c:v>10.731556905456641</c:v>
                </c:pt>
                <c:pt idx="192">
                  <c:v>1.2651779004783987</c:v>
                </c:pt>
                <c:pt idx="193">
                  <c:v>1.739306715660506</c:v>
                </c:pt>
                <c:pt idx="194">
                  <c:v>-12.669034671745683</c:v>
                </c:pt>
                <c:pt idx="195">
                  <c:v>1.0604205801445474</c:v>
                </c:pt>
                <c:pt idx="196">
                  <c:v>6.1293876460705494</c:v>
                </c:pt>
                <c:pt idx="197">
                  <c:v>8.2829334886257655</c:v>
                </c:pt>
                <c:pt idx="198">
                  <c:v>5.9488221295528971</c:v>
                </c:pt>
                <c:pt idx="199">
                  <c:v>4.5198908712134447</c:v>
                </c:pt>
                <c:pt idx="200">
                  <c:v>-0.17543155848740438</c:v>
                </c:pt>
                <c:pt idx="201">
                  <c:v>6.8038795159586645</c:v>
                </c:pt>
                <c:pt idx="202">
                  <c:v>12.078136008064263</c:v>
                </c:pt>
                <c:pt idx="203">
                  <c:v>-4.9650374334945724</c:v>
                </c:pt>
                <c:pt idx="204">
                  <c:v>13.534192891778762</c:v>
                </c:pt>
                <c:pt idx="205">
                  <c:v>22.097882581321922</c:v>
                </c:pt>
                <c:pt idx="206">
                  <c:v>12.386187668133449</c:v>
                </c:pt>
                <c:pt idx="207">
                  <c:v>11.628616076533294</c:v>
                </c:pt>
                <c:pt idx="208">
                  <c:v>7.0345576900684561</c:v>
                </c:pt>
                <c:pt idx="209">
                  <c:v>-10.212188208543042</c:v>
                </c:pt>
                <c:pt idx="210">
                  <c:v>4.2443626854735514</c:v>
                </c:pt>
                <c:pt idx="211">
                  <c:v>3.1776900840051732</c:v>
                </c:pt>
                <c:pt idx="212">
                  <c:v>7.9772391073840581</c:v>
                </c:pt>
                <c:pt idx="213">
                  <c:v>1.0539853406438477</c:v>
                </c:pt>
                <c:pt idx="214">
                  <c:v>-4.6792253683817941</c:v>
                </c:pt>
                <c:pt idx="215">
                  <c:v>-1.4767717367748017</c:v>
                </c:pt>
                <c:pt idx="216">
                  <c:v>0.89550047696471591</c:v>
                </c:pt>
                <c:pt idx="217">
                  <c:v>15.43634078295916</c:v>
                </c:pt>
                <c:pt idx="218">
                  <c:v>5.8096332829482726</c:v>
                </c:pt>
                <c:pt idx="219">
                  <c:v>5.4680995097040652</c:v>
                </c:pt>
                <c:pt idx="220">
                  <c:v>2.2992851735568114</c:v>
                </c:pt>
                <c:pt idx="221">
                  <c:v>6.9637149421908431</c:v>
                </c:pt>
                <c:pt idx="222">
                  <c:v>10.176596281240382</c:v>
                </c:pt>
                <c:pt idx="223">
                  <c:v>5.3400824627705301</c:v>
                </c:pt>
                <c:pt idx="224">
                  <c:v>-0.54220332558441608</c:v>
                </c:pt>
                <c:pt idx="225">
                  <c:v>-2.0044086585823409</c:v>
                </c:pt>
                <c:pt idx="226">
                  <c:v>13.737366377483928</c:v>
                </c:pt>
                <c:pt idx="227">
                  <c:v>-3.9764224003733841</c:v>
                </c:pt>
                <c:pt idx="228">
                  <c:v>1.4556450552144924</c:v>
                </c:pt>
                <c:pt idx="229">
                  <c:v>9.7850272404806127</c:v>
                </c:pt>
                <c:pt idx="230">
                  <c:v>-1.1161954590498671</c:v>
                </c:pt>
                <c:pt idx="231">
                  <c:v>3.0937045953268019</c:v>
                </c:pt>
                <c:pt idx="232">
                  <c:v>20.342719373560236</c:v>
                </c:pt>
                <c:pt idx="233">
                  <c:v>2.4257695203162859</c:v>
                </c:pt>
                <c:pt idx="234">
                  <c:v>1.0137823747437398</c:v>
                </c:pt>
                <c:pt idx="235">
                  <c:v>9.4760203409637196</c:v>
                </c:pt>
                <c:pt idx="236">
                  <c:v>-2.3814735421227726</c:v>
                </c:pt>
                <c:pt idx="237">
                  <c:v>5.7267809904666187</c:v>
                </c:pt>
                <c:pt idx="238">
                  <c:v>9.424478544289606</c:v>
                </c:pt>
                <c:pt idx="239">
                  <c:v>4.6066359264413332</c:v>
                </c:pt>
                <c:pt idx="240">
                  <c:v>14.032515715500777</c:v>
                </c:pt>
                <c:pt idx="241">
                  <c:v>-0.50265062974127295</c:v>
                </c:pt>
                <c:pt idx="242">
                  <c:v>3.8760824508977061</c:v>
                </c:pt>
                <c:pt idx="243">
                  <c:v>5.5946042217774741</c:v>
                </c:pt>
                <c:pt idx="244">
                  <c:v>3.2393232797045401</c:v>
                </c:pt>
                <c:pt idx="245">
                  <c:v>13.009552247467038</c:v>
                </c:pt>
                <c:pt idx="246">
                  <c:v>10.426580589897197</c:v>
                </c:pt>
                <c:pt idx="247">
                  <c:v>1.7365860024593345</c:v>
                </c:pt>
                <c:pt idx="248">
                  <c:v>3.8027181877512382</c:v>
                </c:pt>
                <c:pt idx="249">
                  <c:v>5.9857745582442936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2D-40C8-85F0-ABB2CCBCC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027344"/>
        <c:axId val="1618031184"/>
      </c:scatterChart>
      <c:valAx>
        <c:axId val="1618027344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31184"/>
        <c:crosses val="autoZero"/>
        <c:crossBetween val="midCat"/>
        <c:majorUnit val="10"/>
        <c:minorUnit val="5"/>
      </c:valAx>
      <c:valAx>
        <c:axId val="161803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2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Beta angle vs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'1'!$C$8:$C$257</c:f>
              <c:numCache>
                <c:formatCode>General</c:formatCode>
                <c:ptCount val="250"/>
                <c:pt idx="0">
                  <c:v>130</c:v>
                </c:pt>
                <c:pt idx="1">
                  <c:v>104.4</c:v>
                </c:pt>
                <c:pt idx="2">
                  <c:v>110.4</c:v>
                </c:pt>
                <c:pt idx="3">
                  <c:v>107.1</c:v>
                </c:pt>
                <c:pt idx="4">
                  <c:v>130</c:v>
                </c:pt>
                <c:pt idx="5">
                  <c:v>114.9</c:v>
                </c:pt>
                <c:pt idx="6">
                  <c:v>102.1</c:v>
                </c:pt>
                <c:pt idx="7">
                  <c:v>113.7</c:v>
                </c:pt>
                <c:pt idx="8">
                  <c:v>111.5</c:v>
                </c:pt>
                <c:pt idx="9">
                  <c:v>104.8</c:v>
                </c:pt>
                <c:pt idx="10">
                  <c:v>113.3</c:v>
                </c:pt>
                <c:pt idx="11">
                  <c:v>130</c:v>
                </c:pt>
                <c:pt idx="12">
                  <c:v>116.9</c:v>
                </c:pt>
                <c:pt idx="13">
                  <c:v>130</c:v>
                </c:pt>
                <c:pt idx="14">
                  <c:v>107.7</c:v>
                </c:pt>
                <c:pt idx="15">
                  <c:v>126</c:v>
                </c:pt>
                <c:pt idx="16">
                  <c:v>107.2</c:v>
                </c:pt>
                <c:pt idx="17">
                  <c:v>127.1</c:v>
                </c:pt>
                <c:pt idx="18">
                  <c:v>119.1</c:v>
                </c:pt>
                <c:pt idx="19">
                  <c:v>109.2</c:v>
                </c:pt>
                <c:pt idx="20">
                  <c:v>117.4</c:v>
                </c:pt>
                <c:pt idx="21">
                  <c:v>111.9</c:v>
                </c:pt>
                <c:pt idx="22">
                  <c:v>119.6</c:v>
                </c:pt>
                <c:pt idx="23">
                  <c:v>103.3</c:v>
                </c:pt>
                <c:pt idx="24">
                  <c:v>124.3</c:v>
                </c:pt>
                <c:pt idx="25">
                  <c:v>125.7</c:v>
                </c:pt>
                <c:pt idx="26">
                  <c:v>117.7</c:v>
                </c:pt>
                <c:pt idx="27">
                  <c:v>116</c:v>
                </c:pt>
                <c:pt idx="28">
                  <c:v>109.3</c:v>
                </c:pt>
                <c:pt idx="29">
                  <c:v>110.7</c:v>
                </c:pt>
                <c:pt idx="30">
                  <c:v>121.1</c:v>
                </c:pt>
                <c:pt idx="31">
                  <c:v>106.2</c:v>
                </c:pt>
                <c:pt idx="32">
                  <c:v>130</c:v>
                </c:pt>
                <c:pt idx="33">
                  <c:v>107.6</c:v>
                </c:pt>
                <c:pt idx="34">
                  <c:v>100</c:v>
                </c:pt>
                <c:pt idx="35">
                  <c:v>126.3</c:v>
                </c:pt>
                <c:pt idx="36">
                  <c:v>107.4</c:v>
                </c:pt>
                <c:pt idx="37">
                  <c:v>114.3</c:v>
                </c:pt>
                <c:pt idx="38">
                  <c:v>107.4</c:v>
                </c:pt>
                <c:pt idx="39">
                  <c:v>125.6</c:v>
                </c:pt>
                <c:pt idx="40">
                  <c:v>111</c:v>
                </c:pt>
                <c:pt idx="41">
                  <c:v>112.9</c:v>
                </c:pt>
                <c:pt idx="42">
                  <c:v>118.5</c:v>
                </c:pt>
                <c:pt idx="43">
                  <c:v>119.3</c:v>
                </c:pt>
                <c:pt idx="44">
                  <c:v>130</c:v>
                </c:pt>
                <c:pt idx="45">
                  <c:v>130</c:v>
                </c:pt>
                <c:pt idx="46">
                  <c:v>117.3</c:v>
                </c:pt>
                <c:pt idx="47">
                  <c:v>117.2</c:v>
                </c:pt>
                <c:pt idx="48">
                  <c:v>105.2</c:v>
                </c:pt>
                <c:pt idx="49">
                  <c:v>116.8</c:v>
                </c:pt>
                <c:pt idx="50">
                  <c:v>106.3</c:v>
                </c:pt>
                <c:pt idx="51">
                  <c:v>106.7</c:v>
                </c:pt>
                <c:pt idx="52">
                  <c:v>106.7</c:v>
                </c:pt>
                <c:pt idx="53">
                  <c:v>125.3</c:v>
                </c:pt>
                <c:pt idx="54">
                  <c:v>109.7</c:v>
                </c:pt>
                <c:pt idx="55">
                  <c:v>117.3</c:v>
                </c:pt>
                <c:pt idx="56">
                  <c:v>118.2</c:v>
                </c:pt>
                <c:pt idx="57">
                  <c:v>119</c:v>
                </c:pt>
                <c:pt idx="58">
                  <c:v>109.3</c:v>
                </c:pt>
                <c:pt idx="59">
                  <c:v>104.4</c:v>
                </c:pt>
                <c:pt idx="60">
                  <c:v>109.4</c:v>
                </c:pt>
                <c:pt idx="61">
                  <c:v>114.2</c:v>
                </c:pt>
                <c:pt idx="62">
                  <c:v>107</c:v>
                </c:pt>
                <c:pt idx="63">
                  <c:v>112.1</c:v>
                </c:pt>
                <c:pt idx="64">
                  <c:v>109</c:v>
                </c:pt>
                <c:pt idx="65">
                  <c:v>114</c:v>
                </c:pt>
                <c:pt idx="66">
                  <c:v>111.3</c:v>
                </c:pt>
                <c:pt idx="67">
                  <c:v>111.1</c:v>
                </c:pt>
                <c:pt idx="68">
                  <c:v>112.3</c:v>
                </c:pt>
                <c:pt idx="69">
                  <c:v>107.9</c:v>
                </c:pt>
                <c:pt idx="70">
                  <c:v>106.6</c:v>
                </c:pt>
                <c:pt idx="71">
                  <c:v>105.9</c:v>
                </c:pt>
                <c:pt idx="72">
                  <c:v>117.5</c:v>
                </c:pt>
                <c:pt idx="73">
                  <c:v>126.5</c:v>
                </c:pt>
                <c:pt idx="74">
                  <c:v>128.5</c:v>
                </c:pt>
                <c:pt idx="75">
                  <c:v>113.1</c:v>
                </c:pt>
                <c:pt idx="76">
                  <c:v>129.5</c:v>
                </c:pt>
                <c:pt idx="77">
                  <c:v>130</c:v>
                </c:pt>
                <c:pt idx="78">
                  <c:v>114.6</c:v>
                </c:pt>
                <c:pt idx="79">
                  <c:v>102.5</c:v>
                </c:pt>
                <c:pt idx="80">
                  <c:v>104</c:v>
                </c:pt>
                <c:pt idx="81">
                  <c:v>130</c:v>
                </c:pt>
                <c:pt idx="82">
                  <c:v>113.7</c:v>
                </c:pt>
                <c:pt idx="83">
                  <c:v>112.3</c:v>
                </c:pt>
                <c:pt idx="84">
                  <c:v>102.4</c:v>
                </c:pt>
                <c:pt idx="85">
                  <c:v>116.9</c:v>
                </c:pt>
                <c:pt idx="86">
                  <c:v>114.5</c:v>
                </c:pt>
                <c:pt idx="87">
                  <c:v>109.6</c:v>
                </c:pt>
                <c:pt idx="88">
                  <c:v>117</c:v>
                </c:pt>
                <c:pt idx="89">
                  <c:v>119.7</c:v>
                </c:pt>
                <c:pt idx="90">
                  <c:v>113.2</c:v>
                </c:pt>
                <c:pt idx="91">
                  <c:v>105.8</c:v>
                </c:pt>
                <c:pt idx="92">
                  <c:v>103.5</c:v>
                </c:pt>
                <c:pt idx="93">
                  <c:v>104.3</c:v>
                </c:pt>
                <c:pt idx="94">
                  <c:v>114.5</c:v>
                </c:pt>
                <c:pt idx="95">
                  <c:v>105.6</c:v>
                </c:pt>
                <c:pt idx="96">
                  <c:v>114.2</c:v>
                </c:pt>
                <c:pt idx="97">
                  <c:v>103.3</c:v>
                </c:pt>
                <c:pt idx="98">
                  <c:v>128.1</c:v>
                </c:pt>
                <c:pt idx="99">
                  <c:v>122.5</c:v>
                </c:pt>
                <c:pt idx="100">
                  <c:v>130</c:v>
                </c:pt>
                <c:pt idx="101">
                  <c:v>110.3</c:v>
                </c:pt>
                <c:pt idx="102">
                  <c:v>108.7</c:v>
                </c:pt>
                <c:pt idx="103">
                  <c:v>106.5</c:v>
                </c:pt>
                <c:pt idx="104">
                  <c:v>129</c:v>
                </c:pt>
                <c:pt idx="105">
                  <c:v>130</c:v>
                </c:pt>
                <c:pt idx="106">
                  <c:v>106.3</c:v>
                </c:pt>
                <c:pt idx="107">
                  <c:v>107.4</c:v>
                </c:pt>
                <c:pt idx="108">
                  <c:v>126.1</c:v>
                </c:pt>
                <c:pt idx="109">
                  <c:v>120.8</c:v>
                </c:pt>
                <c:pt idx="110">
                  <c:v>111.9</c:v>
                </c:pt>
                <c:pt idx="111">
                  <c:v>130</c:v>
                </c:pt>
                <c:pt idx="112">
                  <c:v>109</c:v>
                </c:pt>
                <c:pt idx="113">
                  <c:v>102</c:v>
                </c:pt>
                <c:pt idx="114">
                  <c:v>127.1</c:v>
                </c:pt>
                <c:pt idx="115">
                  <c:v>117.2</c:v>
                </c:pt>
                <c:pt idx="116">
                  <c:v>125.3</c:v>
                </c:pt>
                <c:pt idx="117">
                  <c:v>118.7</c:v>
                </c:pt>
                <c:pt idx="118">
                  <c:v>122.1</c:v>
                </c:pt>
                <c:pt idx="119">
                  <c:v>110.7</c:v>
                </c:pt>
                <c:pt idx="120">
                  <c:v>104.1</c:v>
                </c:pt>
                <c:pt idx="121">
                  <c:v>130</c:v>
                </c:pt>
                <c:pt idx="122">
                  <c:v>130</c:v>
                </c:pt>
                <c:pt idx="123">
                  <c:v>113.1</c:v>
                </c:pt>
                <c:pt idx="124">
                  <c:v>103.9</c:v>
                </c:pt>
                <c:pt idx="125">
                  <c:v>126</c:v>
                </c:pt>
                <c:pt idx="126">
                  <c:v>111.6</c:v>
                </c:pt>
                <c:pt idx="127">
                  <c:v>119.5</c:v>
                </c:pt>
                <c:pt idx="128">
                  <c:v>124.6</c:v>
                </c:pt>
                <c:pt idx="129">
                  <c:v>120.9</c:v>
                </c:pt>
                <c:pt idx="130">
                  <c:v>104.4</c:v>
                </c:pt>
                <c:pt idx="131">
                  <c:v>116.9</c:v>
                </c:pt>
                <c:pt idx="132">
                  <c:v>119.3</c:v>
                </c:pt>
                <c:pt idx="133">
                  <c:v>105.4</c:v>
                </c:pt>
                <c:pt idx="134">
                  <c:v>113.8</c:v>
                </c:pt>
                <c:pt idx="135">
                  <c:v>105.5</c:v>
                </c:pt>
                <c:pt idx="136">
                  <c:v>130</c:v>
                </c:pt>
                <c:pt idx="137">
                  <c:v>112.5</c:v>
                </c:pt>
                <c:pt idx="138">
                  <c:v>109.9</c:v>
                </c:pt>
                <c:pt idx="139">
                  <c:v>122.1</c:v>
                </c:pt>
                <c:pt idx="140">
                  <c:v>113.6</c:v>
                </c:pt>
                <c:pt idx="141">
                  <c:v>130</c:v>
                </c:pt>
                <c:pt idx="142">
                  <c:v>113</c:v>
                </c:pt>
                <c:pt idx="143">
                  <c:v>122.7</c:v>
                </c:pt>
                <c:pt idx="144">
                  <c:v>130</c:v>
                </c:pt>
                <c:pt idx="145">
                  <c:v>122.4</c:v>
                </c:pt>
                <c:pt idx="146">
                  <c:v>113.9</c:v>
                </c:pt>
                <c:pt idx="147">
                  <c:v>122.2</c:v>
                </c:pt>
                <c:pt idx="148">
                  <c:v>100</c:v>
                </c:pt>
                <c:pt idx="149">
                  <c:v>120.6</c:v>
                </c:pt>
                <c:pt idx="150">
                  <c:v>127.9</c:v>
                </c:pt>
                <c:pt idx="151">
                  <c:v>108.9</c:v>
                </c:pt>
                <c:pt idx="152">
                  <c:v>111.8</c:v>
                </c:pt>
                <c:pt idx="153">
                  <c:v>113.8</c:v>
                </c:pt>
                <c:pt idx="154">
                  <c:v>130</c:v>
                </c:pt>
                <c:pt idx="155">
                  <c:v>107.2</c:v>
                </c:pt>
                <c:pt idx="156">
                  <c:v>130</c:v>
                </c:pt>
                <c:pt idx="157">
                  <c:v>108.8</c:v>
                </c:pt>
                <c:pt idx="158">
                  <c:v>114.7</c:v>
                </c:pt>
                <c:pt idx="159">
                  <c:v>126.7</c:v>
                </c:pt>
                <c:pt idx="160">
                  <c:v>118.3</c:v>
                </c:pt>
                <c:pt idx="161">
                  <c:v>100</c:v>
                </c:pt>
                <c:pt idx="162">
                  <c:v>105.8</c:v>
                </c:pt>
                <c:pt idx="163">
                  <c:v>126</c:v>
                </c:pt>
                <c:pt idx="164">
                  <c:v>107.6</c:v>
                </c:pt>
                <c:pt idx="165">
                  <c:v>116.3</c:v>
                </c:pt>
                <c:pt idx="166">
                  <c:v>118.1</c:v>
                </c:pt>
                <c:pt idx="167">
                  <c:v>130</c:v>
                </c:pt>
                <c:pt idx="168">
                  <c:v>118.3</c:v>
                </c:pt>
                <c:pt idx="169">
                  <c:v>111.9</c:v>
                </c:pt>
                <c:pt idx="170">
                  <c:v>130</c:v>
                </c:pt>
                <c:pt idx="171">
                  <c:v>106.1</c:v>
                </c:pt>
                <c:pt idx="172">
                  <c:v>102.5</c:v>
                </c:pt>
                <c:pt idx="173">
                  <c:v>111.7</c:v>
                </c:pt>
                <c:pt idx="174">
                  <c:v>112.4</c:v>
                </c:pt>
                <c:pt idx="175">
                  <c:v>111</c:v>
                </c:pt>
                <c:pt idx="176">
                  <c:v>104.3</c:v>
                </c:pt>
                <c:pt idx="177">
                  <c:v>102.3</c:v>
                </c:pt>
                <c:pt idx="178">
                  <c:v>122.5</c:v>
                </c:pt>
                <c:pt idx="179">
                  <c:v>111.2</c:v>
                </c:pt>
                <c:pt idx="180">
                  <c:v>130</c:v>
                </c:pt>
                <c:pt idx="181">
                  <c:v>112.7</c:v>
                </c:pt>
                <c:pt idx="182">
                  <c:v>130</c:v>
                </c:pt>
                <c:pt idx="183">
                  <c:v>125.9</c:v>
                </c:pt>
                <c:pt idx="184">
                  <c:v>130</c:v>
                </c:pt>
                <c:pt idx="185">
                  <c:v>125.9</c:v>
                </c:pt>
                <c:pt idx="186">
                  <c:v>112.6</c:v>
                </c:pt>
                <c:pt idx="187">
                  <c:v>106.2</c:v>
                </c:pt>
                <c:pt idx="188">
                  <c:v>122.3</c:v>
                </c:pt>
                <c:pt idx="189">
                  <c:v>130</c:v>
                </c:pt>
                <c:pt idx="190">
                  <c:v>108.3</c:v>
                </c:pt>
                <c:pt idx="191">
                  <c:v>130</c:v>
                </c:pt>
                <c:pt idx="192">
                  <c:v>119.8</c:v>
                </c:pt>
                <c:pt idx="193">
                  <c:v>112.2</c:v>
                </c:pt>
                <c:pt idx="194">
                  <c:v>100</c:v>
                </c:pt>
                <c:pt idx="195">
                  <c:v>118.5</c:v>
                </c:pt>
                <c:pt idx="196">
                  <c:v>129.69999999999999</c:v>
                </c:pt>
                <c:pt idx="197">
                  <c:v>109.2</c:v>
                </c:pt>
                <c:pt idx="198">
                  <c:v>113.5</c:v>
                </c:pt>
                <c:pt idx="199">
                  <c:v>122.8</c:v>
                </c:pt>
                <c:pt idx="200">
                  <c:v>105.3</c:v>
                </c:pt>
                <c:pt idx="201">
                  <c:v>113.3</c:v>
                </c:pt>
                <c:pt idx="202">
                  <c:v>127.5</c:v>
                </c:pt>
                <c:pt idx="203">
                  <c:v>116.2</c:v>
                </c:pt>
                <c:pt idx="204">
                  <c:v>130</c:v>
                </c:pt>
                <c:pt idx="205">
                  <c:v>109.4</c:v>
                </c:pt>
                <c:pt idx="206">
                  <c:v>106.5</c:v>
                </c:pt>
                <c:pt idx="207">
                  <c:v>130</c:v>
                </c:pt>
                <c:pt idx="208">
                  <c:v>114.3</c:v>
                </c:pt>
                <c:pt idx="209">
                  <c:v>100</c:v>
                </c:pt>
                <c:pt idx="210">
                  <c:v>112</c:v>
                </c:pt>
                <c:pt idx="211">
                  <c:v>117.5</c:v>
                </c:pt>
                <c:pt idx="212">
                  <c:v>130</c:v>
                </c:pt>
                <c:pt idx="213">
                  <c:v>111.4</c:v>
                </c:pt>
                <c:pt idx="214">
                  <c:v>110.6</c:v>
                </c:pt>
                <c:pt idx="215">
                  <c:v>108.3</c:v>
                </c:pt>
                <c:pt idx="216">
                  <c:v>105.9</c:v>
                </c:pt>
                <c:pt idx="217">
                  <c:v>130</c:v>
                </c:pt>
                <c:pt idx="218">
                  <c:v>123.4</c:v>
                </c:pt>
                <c:pt idx="219">
                  <c:v>110.8</c:v>
                </c:pt>
                <c:pt idx="220">
                  <c:v>130</c:v>
                </c:pt>
                <c:pt idx="221">
                  <c:v>104.3</c:v>
                </c:pt>
                <c:pt idx="222">
                  <c:v>130</c:v>
                </c:pt>
                <c:pt idx="223">
                  <c:v>111</c:v>
                </c:pt>
                <c:pt idx="224">
                  <c:v>115.1</c:v>
                </c:pt>
                <c:pt idx="225">
                  <c:v>106.3</c:v>
                </c:pt>
                <c:pt idx="226">
                  <c:v>113.8</c:v>
                </c:pt>
                <c:pt idx="227">
                  <c:v>110.1</c:v>
                </c:pt>
                <c:pt idx="228">
                  <c:v>109.5</c:v>
                </c:pt>
                <c:pt idx="229">
                  <c:v>109.1</c:v>
                </c:pt>
                <c:pt idx="230">
                  <c:v>110.5</c:v>
                </c:pt>
                <c:pt idx="231">
                  <c:v>109.4</c:v>
                </c:pt>
                <c:pt idx="232">
                  <c:v>130</c:v>
                </c:pt>
                <c:pt idx="233">
                  <c:v>106.3</c:v>
                </c:pt>
                <c:pt idx="234">
                  <c:v>119.8</c:v>
                </c:pt>
                <c:pt idx="235">
                  <c:v>113.4</c:v>
                </c:pt>
                <c:pt idx="236">
                  <c:v>106.6</c:v>
                </c:pt>
                <c:pt idx="237">
                  <c:v>119.3</c:v>
                </c:pt>
                <c:pt idx="238">
                  <c:v>118.1</c:v>
                </c:pt>
                <c:pt idx="239">
                  <c:v>118.8</c:v>
                </c:pt>
                <c:pt idx="240">
                  <c:v>130</c:v>
                </c:pt>
                <c:pt idx="241">
                  <c:v>116.1</c:v>
                </c:pt>
                <c:pt idx="242">
                  <c:v>115.6</c:v>
                </c:pt>
                <c:pt idx="243">
                  <c:v>130</c:v>
                </c:pt>
                <c:pt idx="244">
                  <c:v>123.5</c:v>
                </c:pt>
                <c:pt idx="245">
                  <c:v>127</c:v>
                </c:pt>
                <c:pt idx="246">
                  <c:v>130</c:v>
                </c:pt>
                <c:pt idx="247">
                  <c:v>109.4</c:v>
                </c:pt>
                <c:pt idx="248">
                  <c:v>111.3</c:v>
                </c:pt>
                <c:pt idx="249">
                  <c:v>110.9</c:v>
                </c:pt>
              </c:numCache>
            </c:numRef>
          </c:xVal>
          <c:yVal>
            <c:numRef>
              <c:f>'1'!$L$8:$L$257</c:f>
              <c:numCache>
                <c:formatCode>0.00</c:formatCode>
                <c:ptCount val="250"/>
                <c:pt idx="0">
                  <c:v>6.8258210172966445</c:v>
                </c:pt>
                <c:pt idx="1">
                  <c:v>1.1331286998419134</c:v>
                </c:pt>
                <c:pt idx="2">
                  <c:v>2.7032278606579205</c:v>
                </c:pt>
                <c:pt idx="3">
                  <c:v>3.2755881304891599E-2</c:v>
                </c:pt>
                <c:pt idx="4">
                  <c:v>7.762444807209774</c:v>
                </c:pt>
                <c:pt idx="5">
                  <c:v>3.6251558723360713</c:v>
                </c:pt>
                <c:pt idx="6">
                  <c:v>-4.5857089944937135</c:v>
                </c:pt>
                <c:pt idx="7">
                  <c:v>-4.368723037133619</c:v>
                </c:pt>
                <c:pt idx="8">
                  <c:v>6.5116539984581028</c:v>
                </c:pt>
                <c:pt idx="9">
                  <c:v>2.9486921610844723</c:v>
                </c:pt>
                <c:pt idx="10">
                  <c:v>5.9972582519351292</c:v>
                </c:pt>
                <c:pt idx="11">
                  <c:v>17.71002332418233</c:v>
                </c:pt>
                <c:pt idx="12">
                  <c:v>9.5995627790875222</c:v>
                </c:pt>
                <c:pt idx="13">
                  <c:v>11.529797720257287</c:v>
                </c:pt>
                <c:pt idx="14">
                  <c:v>8.0864464347838089E-2</c:v>
                </c:pt>
                <c:pt idx="15">
                  <c:v>14.664576561021542</c:v>
                </c:pt>
                <c:pt idx="16">
                  <c:v>1.766635425526013</c:v>
                </c:pt>
                <c:pt idx="17">
                  <c:v>9.8757716823126884</c:v>
                </c:pt>
                <c:pt idx="18">
                  <c:v>9.4753918710357574</c:v>
                </c:pt>
                <c:pt idx="19">
                  <c:v>9.6214916582311932E-2</c:v>
                </c:pt>
                <c:pt idx="20">
                  <c:v>3.797736124086998</c:v>
                </c:pt>
                <c:pt idx="21">
                  <c:v>-1.0301705988579613</c:v>
                </c:pt>
                <c:pt idx="22">
                  <c:v>4.3372604171435025</c:v>
                </c:pt>
                <c:pt idx="23">
                  <c:v>-1.1386509291907871</c:v>
                </c:pt>
                <c:pt idx="24">
                  <c:v>4.4393843572933012</c:v>
                </c:pt>
                <c:pt idx="25">
                  <c:v>10.487995094584113</c:v>
                </c:pt>
                <c:pt idx="26">
                  <c:v>-2.2207019305082083</c:v>
                </c:pt>
                <c:pt idx="27">
                  <c:v>3.89244150368968</c:v>
                </c:pt>
                <c:pt idx="28">
                  <c:v>4.6250412460508743</c:v>
                </c:pt>
                <c:pt idx="29">
                  <c:v>4.7198270183033584</c:v>
                </c:pt>
                <c:pt idx="30">
                  <c:v>6.6376270926520746</c:v>
                </c:pt>
                <c:pt idx="31">
                  <c:v>-1.6603807561165942</c:v>
                </c:pt>
                <c:pt idx="32">
                  <c:v>11.052518338698901</c:v>
                </c:pt>
                <c:pt idx="33">
                  <c:v>10.471660955592069</c:v>
                </c:pt>
                <c:pt idx="34">
                  <c:v>-8.4308092769483753</c:v>
                </c:pt>
                <c:pt idx="35">
                  <c:v>13.769267570178586</c:v>
                </c:pt>
                <c:pt idx="36">
                  <c:v>-1.4121393020837711</c:v>
                </c:pt>
                <c:pt idx="37">
                  <c:v>2.5766108258011426</c:v>
                </c:pt>
                <c:pt idx="38">
                  <c:v>1.6244911362853527</c:v>
                </c:pt>
                <c:pt idx="39">
                  <c:v>18.089228358091329</c:v>
                </c:pt>
                <c:pt idx="40">
                  <c:v>1.5929810842066905</c:v>
                </c:pt>
                <c:pt idx="41">
                  <c:v>3.2840761395357534</c:v>
                </c:pt>
                <c:pt idx="42">
                  <c:v>23.294104879484991</c:v>
                </c:pt>
                <c:pt idx="43">
                  <c:v>-1.6039079340220894</c:v>
                </c:pt>
                <c:pt idx="44">
                  <c:v>16.304934562082369</c:v>
                </c:pt>
                <c:pt idx="45">
                  <c:v>13.234660654535373</c:v>
                </c:pt>
                <c:pt idx="46">
                  <c:v>2.5798851913281484</c:v>
                </c:pt>
                <c:pt idx="47">
                  <c:v>18.42908345967405</c:v>
                </c:pt>
                <c:pt idx="48">
                  <c:v>-3.1846833169172313</c:v>
                </c:pt>
                <c:pt idx="49">
                  <c:v>7.2014591518714575</c:v>
                </c:pt>
                <c:pt idx="50">
                  <c:v>1.9238867724868727</c:v>
                </c:pt>
                <c:pt idx="51">
                  <c:v>1.5140313115897059</c:v>
                </c:pt>
                <c:pt idx="52">
                  <c:v>-2.2033817453028472</c:v>
                </c:pt>
                <c:pt idx="53">
                  <c:v>-21.635412468199565</c:v>
                </c:pt>
                <c:pt idx="54">
                  <c:v>-5.3044515799055329E-2</c:v>
                </c:pt>
                <c:pt idx="55">
                  <c:v>0.68249834827240996</c:v>
                </c:pt>
                <c:pt idx="56">
                  <c:v>3.6362517141928055</c:v>
                </c:pt>
                <c:pt idx="57">
                  <c:v>4.0785013546370266</c:v>
                </c:pt>
                <c:pt idx="58">
                  <c:v>4.2699510058087382</c:v>
                </c:pt>
                <c:pt idx="59">
                  <c:v>4.6291655710681461</c:v>
                </c:pt>
                <c:pt idx="60">
                  <c:v>13.579822314274928</c:v>
                </c:pt>
                <c:pt idx="61">
                  <c:v>2.2029192230361296</c:v>
                </c:pt>
                <c:pt idx="62">
                  <c:v>7.0068056545918838</c:v>
                </c:pt>
                <c:pt idx="63">
                  <c:v>4.3007111928788246</c:v>
                </c:pt>
                <c:pt idx="64">
                  <c:v>3.6070282193108989</c:v>
                </c:pt>
                <c:pt idx="65">
                  <c:v>0.43055059313023325</c:v>
                </c:pt>
                <c:pt idx="66">
                  <c:v>1.7354067717139887</c:v>
                </c:pt>
                <c:pt idx="67">
                  <c:v>9.4541646030910638</c:v>
                </c:pt>
                <c:pt idx="68">
                  <c:v>1.6486059116061471</c:v>
                </c:pt>
                <c:pt idx="69">
                  <c:v>2.2353222623153828</c:v>
                </c:pt>
                <c:pt idx="70">
                  <c:v>-0.94969469190613121</c:v>
                </c:pt>
                <c:pt idx="71">
                  <c:v>-3.0087340610791413</c:v>
                </c:pt>
                <c:pt idx="72">
                  <c:v>2.4923477349228182</c:v>
                </c:pt>
                <c:pt idx="73">
                  <c:v>16.551588279615402</c:v>
                </c:pt>
                <c:pt idx="74">
                  <c:v>9.2722368173753278</c:v>
                </c:pt>
                <c:pt idx="75">
                  <c:v>6.7389448663502325</c:v>
                </c:pt>
                <c:pt idx="76">
                  <c:v>9.3216450380099491</c:v>
                </c:pt>
                <c:pt idx="77">
                  <c:v>20.40035663141839</c:v>
                </c:pt>
                <c:pt idx="78">
                  <c:v>1.9398145384726853</c:v>
                </c:pt>
                <c:pt idx="79">
                  <c:v>-5.7022936646941389</c:v>
                </c:pt>
                <c:pt idx="80">
                  <c:v>-3.9619855641899702</c:v>
                </c:pt>
                <c:pt idx="81">
                  <c:v>5.619434462059667</c:v>
                </c:pt>
                <c:pt idx="82">
                  <c:v>22.465284133896954</c:v>
                </c:pt>
                <c:pt idx="83">
                  <c:v>4.274404368455202</c:v>
                </c:pt>
                <c:pt idx="84">
                  <c:v>1.7525587562592526</c:v>
                </c:pt>
                <c:pt idx="85">
                  <c:v>9.3811820649962581</c:v>
                </c:pt>
                <c:pt idx="86">
                  <c:v>10.090799919367891</c:v>
                </c:pt>
                <c:pt idx="87">
                  <c:v>2.5120016794475157</c:v>
                </c:pt>
                <c:pt idx="88">
                  <c:v>4.4114014811297446</c:v>
                </c:pt>
                <c:pt idx="89">
                  <c:v>4.4404689092087972</c:v>
                </c:pt>
                <c:pt idx="90">
                  <c:v>3.8968464209155536</c:v>
                </c:pt>
                <c:pt idx="91">
                  <c:v>-2.9740063018541241</c:v>
                </c:pt>
                <c:pt idx="92">
                  <c:v>-2.6756645277122573</c:v>
                </c:pt>
                <c:pt idx="93">
                  <c:v>-0.63860641151546094</c:v>
                </c:pt>
                <c:pt idx="94">
                  <c:v>3.2969231825749854</c:v>
                </c:pt>
                <c:pt idx="95">
                  <c:v>3.6365081957349896</c:v>
                </c:pt>
                <c:pt idx="96">
                  <c:v>4.5030104895067851</c:v>
                </c:pt>
                <c:pt idx="97">
                  <c:v>-3.869403518725123</c:v>
                </c:pt>
                <c:pt idx="98">
                  <c:v>11.846010543682569</c:v>
                </c:pt>
                <c:pt idx="99">
                  <c:v>7.2483125915284194</c:v>
                </c:pt>
                <c:pt idx="100">
                  <c:v>8.0192993413784226</c:v>
                </c:pt>
                <c:pt idx="101">
                  <c:v>2.7581840419331356</c:v>
                </c:pt>
                <c:pt idx="102">
                  <c:v>1.0984752934912956</c:v>
                </c:pt>
                <c:pt idx="103">
                  <c:v>7.4994022520187125</c:v>
                </c:pt>
                <c:pt idx="104">
                  <c:v>9.5493967080194704</c:v>
                </c:pt>
                <c:pt idx="105">
                  <c:v>15.636689788097453</c:v>
                </c:pt>
                <c:pt idx="106">
                  <c:v>0.69777380979115589</c:v>
                </c:pt>
                <c:pt idx="107">
                  <c:v>2.2091221121273503</c:v>
                </c:pt>
                <c:pt idx="108">
                  <c:v>8.7831041709631883</c:v>
                </c:pt>
                <c:pt idx="109">
                  <c:v>7.0366182135528978</c:v>
                </c:pt>
                <c:pt idx="110">
                  <c:v>6.3548381521317241</c:v>
                </c:pt>
                <c:pt idx="111">
                  <c:v>10.516991973775939</c:v>
                </c:pt>
                <c:pt idx="112">
                  <c:v>4.8866117637622608</c:v>
                </c:pt>
                <c:pt idx="113">
                  <c:v>-6.5680656126911057</c:v>
                </c:pt>
                <c:pt idx="114">
                  <c:v>17.123843746812785</c:v>
                </c:pt>
                <c:pt idx="115">
                  <c:v>9.551077865389713</c:v>
                </c:pt>
                <c:pt idx="116">
                  <c:v>13.432468368022635</c:v>
                </c:pt>
                <c:pt idx="117">
                  <c:v>9.9105877533947897</c:v>
                </c:pt>
                <c:pt idx="118">
                  <c:v>6.5000881011557254</c:v>
                </c:pt>
                <c:pt idx="119">
                  <c:v>1.7883202230273936</c:v>
                </c:pt>
                <c:pt idx="120">
                  <c:v>-1.2597293340815603</c:v>
                </c:pt>
                <c:pt idx="121">
                  <c:v>6.5605442370569227</c:v>
                </c:pt>
                <c:pt idx="122">
                  <c:v>5.0285396723395452</c:v>
                </c:pt>
                <c:pt idx="123">
                  <c:v>8.6542885313479978</c:v>
                </c:pt>
                <c:pt idx="124">
                  <c:v>1.170779585702443</c:v>
                </c:pt>
                <c:pt idx="125">
                  <c:v>12.659398451657935</c:v>
                </c:pt>
                <c:pt idx="126">
                  <c:v>5.2515140517446355</c:v>
                </c:pt>
                <c:pt idx="127">
                  <c:v>10.538982299471952</c:v>
                </c:pt>
                <c:pt idx="128">
                  <c:v>8.6936054507258511</c:v>
                </c:pt>
                <c:pt idx="129">
                  <c:v>1.7657566900360582</c:v>
                </c:pt>
                <c:pt idx="130">
                  <c:v>0.99614752779021187</c:v>
                </c:pt>
                <c:pt idx="131">
                  <c:v>0.21554991693938574</c:v>
                </c:pt>
                <c:pt idx="132">
                  <c:v>-4.4733174781403831</c:v>
                </c:pt>
                <c:pt idx="133">
                  <c:v>11.186881818811399</c:v>
                </c:pt>
                <c:pt idx="134">
                  <c:v>-0.33907176394035632</c:v>
                </c:pt>
                <c:pt idx="135">
                  <c:v>2.1995414338374557</c:v>
                </c:pt>
                <c:pt idx="136">
                  <c:v>12.348424486638212</c:v>
                </c:pt>
                <c:pt idx="137">
                  <c:v>1.6847771907088194</c:v>
                </c:pt>
                <c:pt idx="138">
                  <c:v>1.557778041296167</c:v>
                </c:pt>
                <c:pt idx="139">
                  <c:v>3.2864304808140421</c:v>
                </c:pt>
                <c:pt idx="140">
                  <c:v>4.7864107918339176</c:v>
                </c:pt>
                <c:pt idx="141">
                  <c:v>13.550671826311833</c:v>
                </c:pt>
                <c:pt idx="142">
                  <c:v>8.7048106603818169</c:v>
                </c:pt>
                <c:pt idx="143">
                  <c:v>5.5627944638509685</c:v>
                </c:pt>
                <c:pt idx="144">
                  <c:v>16.052182442424826</c:v>
                </c:pt>
                <c:pt idx="145">
                  <c:v>6.2546425179284961</c:v>
                </c:pt>
                <c:pt idx="146">
                  <c:v>4.2935908304563739</c:v>
                </c:pt>
                <c:pt idx="147">
                  <c:v>7.2166845351730746</c:v>
                </c:pt>
                <c:pt idx="148">
                  <c:v>-9.2401234590693537</c:v>
                </c:pt>
                <c:pt idx="149">
                  <c:v>-4.2034902967375158</c:v>
                </c:pt>
                <c:pt idx="150">
                  <c:v>10.3816345273927</c:v>
                </c:pt>
                <c:pt idx="151">
                  <c:v>5.0163430603952719</c:v>
                </c:pt>
                <c:pt idx="152">
                  <c:v>9.3489358978471788</c:v>
                </c:pt>
                <c:pt idx="153">
                  <c:v>5.0487454302053338</c:v>
                </c:pt>
                <c:pt idx="154">
                  <c:v>7.4815068153042548</c:v>
                </c:pt>
                <c:pt idx="155">
                  <c:v>3.2320086328429589</c:v>
                </c:pt>
                <c:pt idx="156">
                  <c:v>7.1573305118582713</c:v>
                </c:pt>
                <c:pt idx="157">
                  <c:v>1.7599217183715308</c:v>
                </c:pt>
                <c:pt idx="158">
                  <c:v>0.30308450727952951</c:v>
                </c:pt>
                <c:pt idx="159">
                  <c:v>10.548171978353412</c:v>
                </c:pt>
                <c:pt idx="160">
                  <c:v>12.847904107158826</c:v>
                </c:pt>
                <c:pt idx="161">
                  <c:v>-12.630389297798914</c:v>
                </c:pt>
                <c:pt idx="162">
                  <c:v>2.3868613269512187</c:v>
                </c:pt>
                <c:pt idx="163">
                  <c:v>5.8524481914215825</c:v>
                </c:pt>
                <c:pt idx="164">
                  <c:v>5.7984012605808637</c:v>
                </c:pt>
                <c:pt idx="165">
                  <c:v>-1.699883970899229</c:v>
                </c:pt>
                <c:pt idx="166">
                  <c:v>9.7956388143370496</c:v>
                </c:pt>
                <c:pt idx="167">
                  <c:v>10.883505346880121</c:v>
                </c:pt>
                <c:pt idx="168">
                  <c:v>-5.5418015548528938</c:v>
                </c:pt>
                <c:pt idx="169">
                  <c:v>-0.77998006410400844</c:v>
                </c:pt>
                <c:pt idx="170">
                  <c:v>15.529236140561423</c:v>
                </c:pt>
                <c:pt idx="171">
                  <c:v>0.49286460272338339</c:v>
                </c:pt>
                <c:pt idx="172">
                  <c:v>1.7232134802081607</c:v>
                </c:pt>
                <c:pt idx="173">
                  <c:v>4.3262485475000965</c:v>
                </c:pt>
                <c:pt idx="174">
                  <c:v>-2.2181831212050906</c:v>
                </c:pt>
                <c:pt idx="175">
                  <c:v>3.5814628780210098</c:v>
                </c:pt>
                <c:pt idx="176">
                  <c:v>2.0423468011540167</c:v>
                </c:pt>
                <c:pt idx="177">
                  <c:v>-4.0793292496335578</c:v>
                </c:pt>
                <c:pt idx="178">
                  <c:v>-4.2982022124434405</c:v>
                </c:pt>
                <c:pt idx="179">
                  <c:v>5.4802112291282894</c:v>
                </c:pt>
                <c:pt idx="180">
                  <c:v>9.0605299316688974</c:v>
                </c:pt>
                <c:pt idx="181">
                  <c:v>0.59710988520170938</c:v>
                </c:pt>
                <c:pt idx="182">
                  <c:v>10.885913972449506</c:v>
                </c:pt>
                <c:pt idx="183">
                  <c:v>12.86746571123791</c:v>
                </c:pt>
                <c:pt idx="184">
                  <c:v>12.29909780784981</c:v>
                </c:pt>
                <c:pt idx="185">
                  <c:v>11.9405482408655</c:v>
                </c:pt>
                <c:pt idx="186">
                  <c:v>3.4675031563143071</c:v>
                </c:pt>
                <c:pt idx="187">
                  <c:v>1.8398494169480542</c:v>
                </c:pt>
                <c:pt idx="188">
                  <c:v>3.6504383860312384</c:v>
                </c:pt>
                <c:pt idx="189">
                  <c:v>7.4741179551225692</c:v>
                </c:pt>
                <c:pt idx="190">
                  <c:v>0.91040189156561724</c:v>
                </c:pt>
                <c:pt idx="191">
                  <c:v>10.731556905456641</c:v>
                </c:pt>
                <c:pt idx="192">
                  <c:v>1.2651779004783987</c:v>
                </c:pt>
                <c:pt idx="193">
                  <c:v>1.739306715660506</c:v>
                </c:pt>
                <c:pt idx="194">
                  <c:v>-12.669034671745683</c:v>
                </c:pt>
                <c:pt idx="195">
                  <c:v>1.0604205801445474</c:v>
                </c:pt>
                <c:pt idx="196">
                  <c:v>6.1293876460705494</c:v>
                </c:pt>
                <c:pt idx="197">
                  <c:v>8.2829334886257655</c:v>
                </c:pt>
                <c:pt idx="198">
                  <c:v>5.9488221295528971</c:v>
                </c:pt>
                <c:pt idx="199">
                  <c:v>4.5198908712134447</c:v>
                </c:pt>
                <c:pt idx="200">
                  <c:v>-0.17543155848740438</c:v>
                </c:pt>
                <c:pt idx="201">
                  <c:v>6.8038795159586645</c:v>
                </c:pt>
                <c:pt idx="202">
                  <c:v>12.078136008064263</c:v>
                </c:pt>
                <c:pt idx="203">
                  <c:v>-4.9650374334945724</c:v>
                </c:pt>
                <c:pt idx="204">
                  <c:v>13.534192891778762</c:v>
                </c:pt>
                <c:pt idx="205">
                  <c:v>22.097882581321922</c:v>
                </c:pt>
                <c:pt idx="206">
                  <c:v>12.386187668133449</c:v>
                </c:pt>
                <c:pt idx="207">
                  <c:v>11.628616076533294</c:v>
                </c:pt>
                <c:pt idx="208">
                  <c:v>7.0345576900684561</c:v>
                </c:pt>
                <c:pt idx="209">
                  <c:v>-10.212188208543042</c:v>
                </c:pt>
                <c:pt idx="210">
                  <c:v>4.2443626854735514</c:v>
                </c:pt>
                <c:pt idx="211">
                  <c:v>3.1776900840051732</c:v>
                </c:pt>
                <c:pt idx="212">
                  <c:v>7.9772391073840581</c:v>
                </c:pt>
                <c:pt idx="213">
                  <c:v>1.0539853406438477</c:v>
                </c:pt>
                <c:pt idx="214">
                  <c:v>-4.6792253683817941</c:v>
                </c:pt>
                <c:pt idx="215">
                  <c:v>-1.4767717367748017</c:v>
                </c:pt>
                <c:pt idx="216">
                  <c:v>0.89550047696471591</c:v>
                </c:pt>
                <c:pt idx="217">
                  <c:v>15.43634078295916</c:v>
                </c:pt>
                <c:pt idx="218">
                  <c:v>5.8096332829482726</c:v>
                </c:pt>
                <c:pt idx="219">
                  <c:v>5.4680995097040652</c:v>
                </c:pt>
                <c:pt idx="220">
                  <c:v>2.2992851735568114</c:v>
                </c:pt>
                <c:pt idx="221">
                  <c:v>6.9637149421908431</c:v>
                </c:pt>
                <c:pt idx="222">
                  <c:v>10.176596281240382</c:v>
                </c:pt>
                <c:pt idx="223">
                  <c:v>5.3400824627705301</c:v>
                </c:pt>
                <c:pt idx="224">
                  <c:v>-0.54220332558441608</c:v>
                </c:pt>
                <c:pt idx="225">
                  <c:v>-2.0044086585823409</c:v>
                </c:pt>
                <c:pt idx="226">
                  <c:v>13.737366377483928</c:v>
                </c:pt>
                <c:pt idx="227">
                  <c:v>-3.9764224003733841</c:v>
                </c:pt>
                <c:pt idx="228">
                  <c:v>1.4556450552144924</c:v>
                </c:pt>
                <c:pt idx="229">
                  <c:v>9.7850272404806127</c:v>
                </c:pt>
                <c:pt idx="230">
                  <c:v>-1.1161954590498671</c:v>
                </c:pt>
                <c:pt idx="231">
                  <c:v>3.0937045953268019</c:v>
                </c:pt>
                <c:pt idx="232">
                  <c:v>20.342719373560236</c:v>
                </c:pt>
                <c:pt idx="233">
                  <c:v>2.4257695203162859</c:v>
                </c:pt>
                <c:pt idx="234">
                  <c:v>1.0137823747437398</c:v>
                </c:pt>
                <c:pt idx="235">
                  <c:v>9.4760203409637196</c:v>
                </c:pt>
                <c:pt idx="236">
                  <c:v>-2.3814735421227726</c:v>
                </c:pt>
                <c:pt idx="237">
                  <c:v>5.7267809904666187</c:v>
                </c:pt>
                <c:pt idx="238">
                  <c:v>9.424478544289606</c:v>
                </c:pt>
                <c:pt idx="239">
                  <c:v>4.6066359264413332</c:v>
                </c:pt>
                <c:pt idx="240">
                  <c:v>14.032515715500777</c:v>
                </c:pt>
                <c:pt idx="241">
                  <c:v>-0.50265062974127295</c:v>
                </c:pt>
                <c:pt idx="242">
                  <c:v>3.8760824508977061</c:v>
                </c:pt>
                <c:pt idx="243">
                  <c:v>5.5946042217774741</c:v>
                </c:pt>
                <c:pt idx="244">
                  <c:v>3.2393232797045401</c:v>
                </c:pt>
                <c:pt idx="245">
                  <c:v>13.009552247467038</c:v>
                </c:pt>
                <c:pt idx="246">
                  <c:v>10.426580589897197</c:v>
                </c:pt>
                <c:pt idx="247">
                  <c:v>1.7365860024593345</c:v>
                </c:pt>
                <c:pt idx="248">
                  <c:v>3.8027181877512382</c:v>
                </c:pt>
                <c:pt idx="249">
                  <c:v>5.9857745582442936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A0-4B9B-8724-2A13AF043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088304"/>
        <c:axId val="1618086384"/>
      </c:scatterChart>
      <c:valAx>
        <c:axId val="1618088304"/>
        <c:scaling>
          <c:orientation val="minMax"/>
          <c:max val="135"/>
          <c:min val="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86384"/>
        <c:crosses val="autoZero"/>
        <c:crossBetween val="midCat"/>
        <c:majorUnit val="10"/>
        <c:minorUnit val="5"/>
      </c:valAx>
      <c:valAx>
        <c:axId val="161808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8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 vs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'1'!$E$8:$E$257</c:f>
              <c:numCache>
                <c:formatCode>General</c:formatCode>
                <c:ptCount val="250"/>
                <c:pt idx="0">
                  <c:v>23.37</c:v>
                </c:pt>
                <c:pt idx="1">
                  <c:v>23.26</c:v>
                </c:pt>
                <c:pt idx="2">
                  <c:v>20</c:v>
                </c:pt>
                <c:pt idx="3">
                  <c:v>23.11</c:v>
                </c:pt>
                <c:pt idx="4">
                  <c:v>31.15</c:v>
                </c:pt>
                <c:pt idx="5">
                  <c:v>23.6</c:v>
                </c:pt>
                <c:pt idx="6">
                  <c:v>30.32</c:v>
                </c:pt>
                <c:pt idx="7">
                  <c:v>25.29</c:v>
                </c:pt>
                <c:pt idx="8">
                  <c:v>27.39</c:v>
                </c:pt>
                <c:pt idx="9">
                  <c:v>25.05</c:v>
                </c:pt>
                <c:pt idx="10">
                  <c:v>35</c:v>
                </c:pt>
                <c:pt idx="11">
                  <c:v>30.44</c:v>
                </c:pt>
                <c:pt idx="12">
                  <c:v>20</c:v>
                </c:pt>
                <c:pt idx="13">
                  <c:v>24.48</c:v>
                </c:pt>
                <c:pt idx="14">
                  <c:v>33.14</c:v>
                </c:pt>
                <c:pt idx="15">
                  <c:v>26.07</c:v>
                </c:pt>
                <c:pt idx="16">
                  <c:v>22.35</c:v>
                </c:pt>
                <c:pt idx="17">
                  <c:v>31.42</c:v>
                </c:pt>
                <c:pt idx="18">
                  <c:v>22.71</c:v>
                </c:pt>
                <c:pt idx="19">
                  <c:v>25.21</c:v>
                </c:pt>
                <c:pt idx="20">
                  <c:v>20.68</c:v>
                </c:pt>
                <c:pt idx="21">
                  <c:v>24.5</c:v>
                </c:pt>
                <c:pt idx="22">
                  <c:v>22.67</c:v>
                </c:pt>
                <c:pt idx="23">
                  <c:v>34.1</c:v>
                </c:pt>
                <c:pt idx="24">
                  <c:v>30.8</c:v>
                </c:pt>
                <c:pt idx="25">
                  <c:v>24.93</c:v>
                </c:pt>
                <c:pt idx="26">
                  <c:v>28.21</c:v>
                </c:pt>
                <c:pt idx="27">
                  <c:v>23.16</c:v>
                </c:pt>
                <c:pt idx="28">
                  <c:v>35</c:v>
                </c:pt>
                <c:pt idx="29">
                  <c:v>33.42</c:v>
                </c:pt>
                <c:pt idx="30">
                  <c:v>30.62</c:v>
                </c:pt>
                <c:pt idx="31">
                  <c:v>27.3</c:v>
                </c:pt>
                <c:pt idx="32">
                  <c:v>23.25</c:v>
                </c:pt>
                <c:pt idx="33">
                  <c:v>22.75</c:v>
                </c:pt>
                <c:pt idx="34">
                  <c:v>30.85</c:v>
                </c:pt>
                <c:pt idx="35">
                  <c:v>35</c:v>
                </c:pt>
                <c:pt idx="36">
                  <c:v>20.32</c:v>
                </c:pt>
                <c:pt idx="37">
                  <c:v>20</c:v>
                </c:pt>
                <c:pt idx="38">
                  <c:v>28.32</c:v>
                </c:pt>
                <c:pt idx="39">
                  <c:v>35</c:v>
                </c:pt>
                <c:pt idx="40">
                  <c:v>23.7</c:v>
                </c:pt>
                <c:pt idx="41">
                  <c:v>30.36</c:v>
                </c:pt>
                <c:pt idx="42">
                  <c:v>35</c:v>
                </c:pt>
                <c:pt idx="43">
                  <c:v>27.87</c:v>
                </c:pt>
                <c:pt idx="44">
                  <c:v>28.16</c:v>
                </c:pt>
                <c:pt idx="45">
                  <c:v>30.98</c:v>
                </c:pt>
                <c:pt idx="46">
                  <c:v>29.44</c:v>
                </c:pt>
                <c:pt idx="47">
                  <c:v>35</c:v>
                </c:pt>
                <c:pt idx="48">
                  <c:v>28.42</c:v>
                </c:pt>
                <c:pt idx="49">
                  <c:v>35</c:v>
                </c:pt>
                <c:pt idx="50">
                  <c:v>35</c:v>
                </c:pt>
                <c:pt idx="51">
                  <c:v>29.34</c:v>
                </c:pt>
                <c:pt idx="52">
                  <c:v>24.42</c:v>
                </c:pt>
                <c:pt idx="53">
                  <c:v>35</c:v>
                </c:pt>
                <c:pt idx="54">
                  <c:v>22.87</c:v>
                </c:pt>
                <c:pt idx="55">
                  <c:v>29.23</c:v>
                </c:pt>
                <c:pt idx="56">
                  <c:v>30.97</c:v>
                </c:pt>
                <c:pt idx="57">
                  <c:v>20</c:v>
                </c:pt>
                <c:pt idx="58">
                  <c:v>22.35</c:v>
                </c:pt>
                <c:pt idx="59">
                  <c:v>35</c:v>
                </c:pt>
                <c:pt idx="60">
                  <c:v>21.47</c:v>
                </c:pt>
                <c:pt idx="61">
                  <c:v>28.77</c:v>
                </c:pt>
                <c:pt idx="62">
                  <c:v>35</c:v>
                </c:pt>
                <c:pt idx="63">
                  <c:v>30.53</c:v>
                </c:pt>
                <c:pt idx="64">
                  <c:v>28.77</c:v>
                </c:pt>
                <c:pt idx="65">
                  <c:v>27.18</c:v>
                </c:pt>
                <c:pt idx="66">
                  <c:v>28.52</c:v>
                </c:pt>
                <c:pt idx="67">
                  <c:v>35</c:v>
                </c:pt>
                <c:pt idx="68">
                  <c:v>21.73</c:v>
                </c:pt>
                <c:pt idx="69">
                  <c:v>26.91</c:v>
                </c:pt>
                <c:pt idx="70">
                  <c:v>28.06</c:v>
                </c:pt>
                <c:pt idx="71">
                  <c:v>29.03</c:v>
                </c:pt>
                <c:pt idx="72">
                  <c:v>21.27</c:v>
                </c:pt>
                <c:pt idx="73">
                  <c:v>26.54</c:v>
                </c:pt>
                <c:pt idx="74">
                  <c:v>24.18</c:v>
                </c:pt>
                <c:pt idx="75">
                  <c:v>25.94</c:v>
                </c:pt>
                <c:pt idx="76">
                  <c:v>25.57</c:v>
                </c:pt>
                <c:pt idx="77">
                  <c:v>27.75</c:v>
                </c:pt>
                <c:pt idx="78">
                  <c:v>20.49</c:v>
                </c:pt>
                <c:pt idx="79">
                  <c:v>24.05</c:v>
                </c:pt>
                <c:pt idx="80">
                  <c:v>27.62</c:v>
                </c:pt>
                <c:pt idx="81">
                  <c:v>31.6</c:v>
                </c:pt>
                <c:pt idx="82">
                  <c:v>35</c:v>
                </c:pt>
                <c:pt idx="83">
                  <c:v>26.1</c:v>
                </c:pt>
                <c:pt idx="84">
                  <c:v>35</c:v>
                </c:pt>
                <c:pt idx="85">
                  <c:v>23.26</c:v>
                </c:pt>
                <c:pt idx="86">
                  <c:v>35</c:v>
                </c:pt>
                <c:pt idx="87">
                  <c:v>33.71</c:v>
                </c:pt>
                <c:pt idx="88">
                  <c:v>31.6</c:v>
                </c:pt>
                <c:pt idx="89">
                  <c:v>20</c:v>
                </c:pt>
                <c:pt idx="90">
                  <c:v>29.39</c:v>
                </c:pt>
                <c:pt idx="91">
                  <c:v>21.75</c:v>
                </c:pt>
                <c:pt idx="92">
                  <c:v>26.71</c:v>
                </c:pt>
                <c:pt idx="93">
                  <c:v>35</c:v>
                </c:pt>
                <c:pt idx="94">
                  <c:v>35</c:v>
                </c:pt>
                <c:pt idx="95">
                  <c:v>26.21</c:v>
                </c:pt>
                <c:pt idx="96">
                  <c:v>30.12</c:v>
                </c:pt>
                <c:pt idx="97">
                  <c:v>25.06</c:v>
                </c:pt>
                <c:pt idx="98">
                  <c:v>35</c:v>
                </c:pt>
                <c:pt idx="99">
                  <c:v>23.02</c:v>
                </c:pt>
                <c:pt idx="100">
                  <c:v>20</c:v>
                </c:pt>
                <c:pt idx="101">
                  <c:v>21.48</c:v>
                </c:pt>
                <c:pt idx="102">
                  <c:v>27.99</c:v>
                </c:pt>
                <c:pt idx="103">
                  <c:v>31.78</c:v>
                </c:pt>
                <c:pt idx="104">
                  <c:v>20</c:v>
                </c:pt>
                <c:pt idx="105">
                  <c:v>25.76</c:v>
                </c:pt>
                <c:pt idx="106">
                  <c:v>24.29</c:v>
                </c:pt>
                <c:pt idx="107">
                  <c:v>23.98</c:v>
                </c:pt>
                <c:pt idx="108">
                  <c:v>20</c:v>
                </c:pt>
                <c:pt idx="109">
                  <c:v>20</c:v>
                </c:pt>
                <c:pt idx="110">
                  <c:v>31.08</c:v>
                </c:pt>
                <c:pt idx="111">
                  <c:v>24.09</c:v>
                </c:pt>
                <c:pt idx="112">
                  <c:v>35</c:v>
                </c:pt>
                <c:pt idx="113">
                  <c:v>35</c:v>
                </c:pt>
                <c:pt idx="114">
                  <c:v>27.01</c:v>
                </c:pt>
                <c:pt idx="115">
                  <c:v>35</c:v>
                </c:pt>
                <c:pt idx="116">
                  <c:v>35</c:v>
                </c:pt>
                <c:pt idx="117">
                  <c:v>25.56</c:v>
                </c:pt>
                <c:pt idx="118">
                  <c:v>30.63</c:v>
                </c:pt>
                <c:pt idx="119">
                  <c:v>32.229999999999997</c:v>
                </c:pt>
                <c:pt idx="120">
                  <c:v>26.56</c:v>
                </c:pt>
                <c:pt idx="121">
                  <c:v>32.11</c:v>
                </c:pt>
                <c:pt idx="122">
                  <c:v>29.48</c:v>
                </c:pt>
                <c:pt idx="123">
                  <c:v>35</c:v>
                </c:pt>
                <c:pt idx="124">
                  <c:v>24.38</c:v>
                </c:pt>
                <c:pt idx="125">
                  <c:v>22.03</c:v>
                </c:pt>
                <c:pt idx="126">
                  <c:v>21.18</c:v>
                </c:pt>
                <c:pt idx="127">
                  <c:v>35</c:v>
                </c:pt>
                <c:pt idx="128">
                  <c:v>20</c:v>
                </c:pt>
                <c:pt idx="129">
                  <c:v>30.05</c:v>
                </c:pt>
                <c:pt idx="130">
                  <c:v>29.01</c:v>
                </c:pt>
                <c:pt idx="131">
                  <c:v>28.81</c:v>
                </c:pt>
                <c:pt idx="132">
                  <c:v>20</c:v>
                </c:pt>
                <c:pt idx="133">
                  <c:v>28.1</c:v>
                </c:pt>
                <c:pt idx="134">
                  <c:v>27.1</c:v>
                </c:pt>
                <c:pt idx="135">
                  <c:v>25.4</c:v>
                </c:pt>
                <c:pt idx="136">
                  <c:v>31.83</c:v>
                </c:pt>
                <c:pt idx="137">
                  <c:v>20</c:v>
                </c:pt>
                <c:pt idx="138">
                  <c:v>26.11</c:v>
                </c:pt>
                <c:pt idx="139">
                  <c:v>20</c:v>
                </c:pt>
                <c:pt idx="140">
                  <c:v>31.15</c:v>
                </c:pt>
                <c:pt idx="141">
                  <c:v>28.69</c:v>
                </c:pt>
                <c:pt idx="142">
                  <c:v>26.65</c:v>
                </c:pt>
                <c:pt idx="143">
                  <c:v>30.33</c:v>
                </c:pt>
                <c:pt idx="144">
                  <c:v>31.28</c:v>
                </c:pt>
                <c:pt idx="145">
                  <c:v>30.26</c:v>
                </c:pt>
                <c:pt idx="146">
                  <c:v>32.43</c:v>
                </c:pt>
                <c:pt idx="147">
                  <c:v>24.63</c:v>
                </c:pt>
                <c:pt idx="148">
                  <c:v>29.61</c:v>
                </c:pt>
                <c:pt idx="149">
                  <c:v>20</c:v>
                </c:pt>
                <c:pt idx="150">
                  <c:v>25.46</c:v>
                </c:pt>
                <c:pt idx="151">
                  <c:v>35</c:v>
                </c:pt>
                <c:pt idx="152">
                  <c:v>32.700000000000003</c:v>
                </c:pt>
                <c:pt idx="153">
                  <c:v>35</c:v>
                </c:pt>
                <c:pt idx="154">
                  <c:v>20</c:v>
                </c:pt>
                <c:pt idx="155">
                  <c:v>24.32</c:v>
                </c:pt>
                <c:pt idx="156">
                  <c:v>31.87</c:v>
                </c:pt>
                <c:pt idx="157">
                  <c:v>25.94</c:v>
                </c:pt>
                <c:pt idx="158">
                  <c:v>20</c:v>
                </c:pt>
                <c:pt idx="159">
                  <c:v>25.03</c:v>
                </c:pt>
                <c:pt idx="160">
                  <c:v>24.2</c:v>
                </c:pt>
                <c:pt idx="161">
                  <c:v>35</c:v>
                </c:pt>
                <c:pt idx="162">
                  <c:v>35</c:v>
                </c:pt>
                <c:pt idx="163">
                  <c:v>23.02</c:v>
                </c:pt>
                <c:pt idx="164">
                  <c:v>35</c:v>
                </c:pt>
                <c:pt idx="165">
                  <c:v>20</c:v>
                </c:pt>
                <c:pt idx="166">
                  <c:v>32.299999999999997</c:v>
                </c:pt>
                <c:pt idx="167">
                  <c:v>25.03</c:v>
                </c:pt>
                <c:pt idx="168">
                  <c:v>20</c:v>
                </c:pt>
                <c:pt idx="169">
                  <c:v>26.36</c:v>
                </c:pt>
                <c:pt idx="170">
                  <c:v>27.77</c:v>
                </c:pt>
                <c:pt idx="171">
                  <c:v>24.37</c:v>
                </c:pt>
                <c:pt idx="172">
                  <c:v>23.9</c:v>
                </c:pt>
                <c:pt idx="173">
                  <c:v>30.86</c:v>
                </c:pt>
                <c:pt idx="174">
                  <c:v>24.88</c:v>
                </c:pt>
                <c:pt idx="175">
                  <c:v>29.68</c:v>
                </c:pt>
                <c:pt idx="176">
                  <c:v>25.78</c:v>
                </c:pt>
                <c:pt idx="177">
                  <c:v>35</c:v>
                </c:pt>
                <c:pt idx="178">
                  <c:v>20</c:v>
                </c:pt>
                <c:pt idx="179">
                  <c:v>31.18</c:v>
                </c:pt>
                <c:pt idx="180">
                  <c:v>23.7</c:v>
                </c:pt>
                <c:pt idx="181">
                  <c:v>27.01</c:v>
                </c:pt>
                <c:pt idx="182">
                  <c:v>20.73</c:v>
                </c:pt>
                <c:pt idx="183">
                  <c:v>35</c:v>
                </c:pt>
                <c:pt idx="184">
                  <c:v>32.020000000000003</c:v>
                </c:pt>
                <c:pt idx="185">
                  <c:v>35</c:v>
                </c:pt>
                <c:pt idx="186">
                  <c:v>20</c:v>
                </c:pt>
                <c:pt idx="187">
                  <c:v>35</c:v>
                </c:pt>
                <c:pt idx="188">
                  <c:v>20</c:v>
                </c:pt>
                <c:pt idx="189">
                  <c:v>32.479999999999997</c:v>
                </c:pt>
                <c:pt idx="190">
                  <c:v>20</c:v>
                </c:pt>
                <c:pt idx="191">
                  <c:v>30.09</c:v>
                </c:pt>
                <c:pt idx="192">
                  <c:v>20</c:v>
                </c:pt>
                <c:pt idx="193">
                  <c:v>22.37</c:v>
                </c:pt>
                <c:pt idx="194">
                  <c:v>35</c:v>
                </c:pt>
                <c:pt idx="195">
                  <c:v>21.72</c:v>
                </c:pt>
                <c:pt idx="196">
                  <c:v>20</c:v>
                </c:pt>
                <c:pt idx="197">
                  <c:v>32.35</c:v>
                </c:pt>
                <c:pt idx="198">
                  <c:v>21.17</c:v>
                </c:pt>
                <c:pt idx="199">
                  <c:v>20.46</c:v>
                </c:pt>
                <c:pt idx="200">
                  <c:v>23.6</c:v>
                </c:pt>
                <c:pt idx="201">
                  <c:v>23.68</c:v>
                </c:pt>
                <c:pt idx="202">
                  <c:v>35</c:v>
                </c:pt>
                <c:pt idx="203">
                  <c:v>20</c:v>
                </c:pt>
                <c:pt idx="204">
                  <c:v>24.92</c:v>
                </c:pt>
                <c:pt idx="205">
                  <c:v>35</c:v>
                </c:pt>
                <c:pt idx="206">
                  <c:v>23.57</c:v>
                </c:pt>
                <c:pt idx="207">
                  <c:v>24.57</c:v>
                </c:pt>
                <c:pt idx="208">
                  <c:v>24.85</c:v>
                </c:pt>
                <c:pt idx="209">
                  <c:v>35</c:v>
                </c:pt>
                <c:pt idx="210">
                  <c:v>20</c:v>
                </c:pt>
                <c:pt idx="211">
                  <c:v>20</c:v>
                </c:pt>
                <c:pt idx="212">
                  <c:v>31.86</c:v>
                </c:pt>
                <c:pt idx="213">
                  <c:v>27.27</c:v>
                </c:pt>
                <c:pt idx="214">
                  <c:v>20</c:v>
                </c:pt>
                <c:pt idx="215">
                  <c:v>26.04</c:v>
                </c:pt>
                <c:pt idx="216">
                  <c:v>28.89</c:v>
                </c:pt>
                <c:pt idx="217">
                  <c:v>25.67</c:v>
                </c:pt>
                <c:pt idx="218">
                  <c:v>20</c:v>
                </c:pt>
                <c:pt idx="219">
                  <c:v>22.1</c:v>
                </c:pt>
                <c:pt idx="220">
                  <c:v>22.3</c:v>
                </c:pt>
                <c:pt idx="221">
                  <c:v>26.12</c:v>
                </c:pt>
                <c:pt idx="222">
                  <c:v>24.28</c:v>
                </c:pt>
                <c:pt idx="223">
                  <c:v>35</c:v>
                </c:pt>
                <c:pt idx="224">
                  <c:v>20</c:v>
                </c:pt>
                <c:pt idx="225">
                  <c:v>23.61</c:v>
                </c:pt>
                <c:pt idx="226">
                  <c:v>35</c:v>
                </c:pt>
                <c:pt idx="227">
                  <c:v>20</c:v>
                </c:pt>
                <c:pt idx="228">
                  <c:v>24.51</c:v>
                </c:pt>
                <c:pt idx="229">
                  <c:v>21.17</c:v>
                </c:pt>
                <c:pt idx="230">
                  <c:v>21.01</c:v>
                </c:pt>
                <c:pt idx="231">
                  <c:v>35</c:v>
                </c:pt>
                <c:pt idx="232">
                  <c:v>26.86</c:v>
                </c:pt>
                <c:pt idx="233">
                  <c:v>35</c:v>
                </c:pt>
                <c:pt idx="234">
                  <c:v>21.76</c:v>
                </c:pt>
                <c:pt idx="235">
                  <c:v>35</c:v>
                </c:pt>
                <c:pt idx="236">
                  <c:v>24.8</c:v>
                </c:pt>
                <c:pt idx="237">
                  <c:v>23.37</c:v>
                </c:pt>
                <c:pt idx="238">
                  <c:v>22.25</c:v>
                </c:pt>
                <c:pt idx="239">
                  <c:v>31.56</c:v>
                </c:pt>
                <c:pt idx="240">
                  <c:v>25.81</c:v>
                </c:pt>
                <c:pt idx="241">
                  <c:v>27.07</c:v>
                </c:pt>
                <c:pt idx="242">
                  <c:v>29.32</c:v>
                </c:pt>
                <c:pt idx="243">
                  <c:v>23.7</c:v>
                </c:pt>
                <c:pt idx="244">
                  <c:v>20</c:v>
                </c:pt>
                <c:pt idx="245">
                  <c:v>25.48</c:v>
                </c:pt>
                <c:pt idx="246">
                  <c:v>23.43</c:v>
                </c:pt>
                <c:pt idx="247">
                  <c:v>26.31</c:v>
                </c:pt>
                <c:pt idx="248">
                  <c:v>35</c:v>
                </c:pt>
                <c:pt idx="249">
                  <c:v>33.19</c:v>
                </c:pt>
              </c:numCache>
            </c:numRef>
          </c:xVal>
          <c:yVal>
            <c:numRef>
              <c:f>'1'!$L$8:$L$257</c:f>
              <c:numCache>
                <c:formatCode>0.00</c:formatCode>
                <c:ptCount val="250"/>
                <c:pt idx="0">
                  <c:v>6.8258210172966445</c:v>
                </c:pt>
                <c:pt idx="1">
                  <c:v>1.1331286998419134</c:v>
                </c:pt>
                <c:pt idx="2">
                  <c:v>2.7032278606579205</c:v>
                </c:pt>
                <c:pt idx="3">
                  <c:v>3.2755881304891599E-2</c:v>
                </c:pt>
                <c:pt idx="4">
                  <c:v>7.762444807209774</c:v>
                </c:pt>
                <c:pt idx="5">
                  <c:v>3.6251558723360713</c:v>
                </c:pt>
                <c:pt idx="6">
                  <c:v>-4.5857089944937135</c:v>
                </c:pt>
                <c:pt idx="7">
                  <c:v>-4.368723037133619</c:v>
                </c:pt>
                <c:pt idx="8">
                  <c:v>6.5116539984581028</c:v>
                </c:pt>
                <c:pt idx="9">
                  <c:v>2.9486921610844723</c:v>
                </c:pt>
                <c:pt idx="10">
                  <c:v>5.9972582519351292</c:v>
                </c:pt>
                <c:pt idx="11">
                  <c:v>17.71002332418233</c:v>
                </c:pt>
                <c:pt idx="12">
                  <c:v>9.5995627790875222</c:v>
                </c:pt>
                <c:pt idx="13">
                  <c:v>11.529797720257287</c:v>
                </c:pt>
                <c:pt idx="14">
                  <c:v>8.0864464347838089E-2</c:v>
                </c:pt>
                <c:pt idx="15">
                  <c:v>14.664576561021542</c:v>
                </c:pt>
                <c:pt idx="16">
                  <c:v>1.766635425526013</c:v>
                </c:pt>
                <c:pt idx="17">
                  <c:v>9.8757716823126884</c:v>
                </c:pt>
                <c:pt idx="18">
                  <c:v>9.4753918710357574</c:v>
                </c:pt>
                <c:pt idx="19">
                  <c:v>9.6214916582311932E-2</c:v>
                </c:pt>
                <c:pt idx="20">
                  <c:v>3.797736124086998</c:v>
                </c:pt>
                <c:pt idx="21">
                  <c:v>-1.0301705988579613</c:v>
                </c:pt>
                <c:pt idx="22">
                  <c:v>4.3372604171435025</c:v>
                </c:pt>
                <c:pt idx="23">
                  <c:v>-1.1386509291907871</c:v>
                </c:pt>
                <c:pt idx="24">
                  <c:v>4.4393843572933012</c:v>
                </c:pt>
                <c:pt idx="25">
                  <c:v>10.487995094584113</c:v>
                </c:pt>
                <c:pt idx="26">
                  <c:v>-2.2207019305082083</c:v>
                </c:pt>
                <c:pt idx="27">
                  <c:v>3.89244150368968</c:v>
                </c:pt>
                <c:pt idx="28">
                  <c:v>4.6250412460508743</c:v>
                </c:pt>
                <c:pt idx="29">
                  <c:v>4.7198270183033584</c:v>
                </c:pt>
                <c:pt idx="30">
                  <c:v>6.6376270926520746</c:v>
                </c:pt>
                <c:pt idx="31">
                  <c:v>-1.6603807561165942</c:v>
                </c:pt>
                <c:pt idx="32">
                  <c:v>11.052518338698901</c:v>
                </c:pt>
                <c:pt idx="33">
                  <c:v>10.471660955592069</c:v>
                </c:pt>
                <c:pt idx="34">
                  <c:v>-8.4308092769483753</c:v>
                </c:pt>
                <c:pt idx="35">
                  <c:v>13.769267570178586</c:v>
                </c:pt>
                <c:pt idx="36">
                  <c:v>-1.4121393020837711</c:v>
                </c:pt>
                <c:pt idx="37">
                  <c:v>2.5766108258011426</c:v>
                </c:pt>
                <c:pt idx="38">
                  <c:v>1.6244911362853527</c:v>
                </c:pt>
                <c:pt idx="39">
                  <c:v>18.089228358091329</c:v>
                </c:pt>
                <c:pt idx="40">
                  <c:v>1.5929810842066905</c:v>
                </c:pt>
                <c:pt idx="41">
                  <c:v>3.2840761395357534</c:v>
                </c:pt>
                <c:pt idx="42">
                  <c:v>23.294104879484991</c:v>
                </c:pt>
                <c:pt idx="43">
                  <c:v>-1.6039079340220894</c:v>
                </c:pt>
                <c:pt idx="44">
                  <c:v>16.304934562082369</c:v>
                </c:pt>
                <c:pt idx="45">
                  <c:v>13.234660654535373</c:v>
                </c:pt>
                <c:pt idx="46">
                  <c:v>2.5798851913281484</c:v>
                </c:pt>
                <c:pt idx="47">
                  <c:v>18.42908345967405</c:v>
                </c:pt>
                <c:pt idx="48">
                  <c:v>-3.1846833169172313</c:v>
                </c:pt>
                <c:pt idx="49">
                  <c:v>7.2014591518714575</c:v>
                </c:pt>
                <c:pt idx="50">
                  <c:v>1.9238867724868727</c:v>
                </c:pt>
                <c:pt idx="51">
                  <c:v>1.5140313115897059</c:v>
                </c:pt>
                <c:pt idx="52">
                  <c:v>-2.2033817453028472</c:v>
                </c:pt>
                <c:pt idx="53">
                  <c:v>-21.635412468199565</c:v>
                </c:pt>
                <c:pt idx="54">
                  <c:v>-5.3044515799055329E-2</c:v>
                </c:pt>
                <c:pt idx="55">
                  <c:v>0.68249834827240996</c:v>
                </c:pt>
                <c:pt idx="56">
                  <c:v>3.6362517141928055</c:v>
                </c:pt>
                <c:pt idx="57">
                  <c:v>4.0785013546370266</c:v>
                </c:pt>
                <c:pt idx="58">
                  <c:v>4.2699510058087382</c:v>
                </c:pt>
                <c:pt idx="59">
                  <c:v>4.6291655710681461</c:v>
                </c:pt>
                <c:pt idx="60">
                  <c:v>13.579822314274928</c:v>
                </c:pt>
                <c:pt idx="61">
                  <c:v>2.2029192230361296</c:v>
                </c:pt>
                <c:pt idx="62">
                  <c:v>7.0068056545918838</c:v>
                </c:pt>
                <c:pt idx="63">
                  <c:v>4.3007111928788246</c:v>
                </c:pt>
                <c:pt idx="64">
                  <c:v>3.6070282193108989</c:v>
                </c:pt>
                <c:pt idx="65">
                  <c:v>0.43055059313023325</c:v>
                </c:pt>
                <c:pt idx="66">
                  <c:v>1.7354067717139887</c:v>
                </c:pt>
                <c:pt idx="67">
                  <c:v>9.4541646030910638</c:v>
                </c:pt>
                <c:pt idx="68">
                  <c:v>1.6486059116061471</c:v>
                </c:pt>
                <c:pt idx="69">
                  <c:v>2.2353222623153828</c:v>
                </c:pt>
                <c:pt idx="70">
                  <c:v>-0.94969469190613121</c:v>
                </c:pt>
                <c:pt idx="71">
                  <c:v>-3.0087340610791413</c:v>
                </c:pt>
                <c:pt idx="72">
                  <c:v>2.4923477349228182</c:v>
                </c:pt>
                <c:pt idx="73">
                  <c:v>16.551588279615402</c:v>
                </c:pt>
                <c:pt idx="74">
                  <c:v>9.2722368173753278</c:v>
                </c:pt>
                <c:pt idx="75">
                  <c:v>6.7389448663502325</c:v>
                </c:pt>
                <c:pt idx="76">
                  <c:v>9.3216450380099491</c:v>
                </c:pt>
                <c:pt idx="77">
                  <c:v>20.40035663141839</c:v>
                </c:pt>
                <c:pt idx="78">
                  <c:v>1.9398145384726853</c:v>
                </c:pt>
                <c:pt idx="79">
                  <c:v>-5.7022936646941389</c:v>
                </c:pt>
                <c:pt idx="80">
                  <c:v>-3.9619855641899702</c:v>
                </c:pt>
                <c:pt idx="81">
                  <c:v>5.619434462059667</c:v>
                </c:pt>
                <c:pt idx="82">
                  <c:v>22.465284133896954</c:v>
                </c:pt>
                <c:pt idx="83">
                  <c:v>4.274404368455202</c:v>
                </c:pt>
                <c:pt idx="84">
                  <c:v>1.7525587562592526</c:v>
                </c:pt>
                <c:pt idx="85">
                  <c:v>9.3811820649962581</c:v>
                </c:pt>
                <c:pt idx="86">
                  <c:v>10.090799919367891</c:v>
                </c:pt>
                <c:pt idx="87">
                  <c:v>2.5120016794475157</c:v>
                </c:pt>
                <c:pt idx="88">
                  <c:v>4.4114014811297446</c:v>
                </c:pt>
                <c:pt idx="89">
                  <c:v>4.4404689092087972</c:v>
                </c:pt>
                <c:pt idx="90">
                  <c:v>3.8968464209155536</c:v>
                </c:pt>
                <c:pt idx="91">
                  <c:v>-2.9740063018541241</c:v>
                </c:pt>
                <c:pt idx="92">
                  <c:v>-2.6756645277122573</c:v>
                </c:pt>
                <c:pt idx="93">
                  <c:v>-0.63860641151546094</c:v>
                </c:pt>
                <c:pt idx="94">
                  <c:v>3.2969231825749854</c:v>
                </c:pt>
                <c:pt idx="95">
                  <c:v>3.6365081957349896</c:v>
                </c:pt>
                <c:pt idx="96">
                  <c:v>4.5030104895067851</c:v>
                </c:pt>
                <c:pt idx="97">
                  <c:v>-3.869403518725123</c:v>
                </c:pt>
                <c:pt idx="98">
                  <c:v>11.846010543682569</c:v>
                </c:pt>
                <c:pt idx="99">
                  <c:v>7.2483125915284194</c:v>
                </c:pt>
                <c:pt idx="100">
                  <c:v>8.0192993413784226</c:v>
                </c:pt>
                <c:pt idx="101">
                  <c:v>2.7581840419331356</c:v>
                </c:pt>
                <c:pt idx="102">
                  <c:v>1.0984752934912956</c:v>
                </c:pt>
                <c:pt idx="103">
                  <c:v>7.4994022520187125</c:v>
                </c:pt>
                <c:pt idx="104">
                  <c:v>9.5493967080194704</c:v>
                </c:pt>
                <c:pt idx="105">
                  <c:v>15.636689788097453</c:v>
                </c:pt>
                <c:pt idx="106">
                  <c:v>0.69777380979115589</c:v>
                </c:pt>
                <c:pt idx="107">
                  <c:v>2.2091221121273503</c:v>
                </c:pt>
                <c:pt idx="108">
                  <c:v>8.7831041709631883</c:v>
                </c:pt>
                <c:pt idx="109">
                  <c:v>7.0366182135528978</c:v>
                </c:pt>
                <c:pt idx="110">
                  <c:v>6.3548381521317241</c:v>
                </c:pt>
                <c:pt idx="111">
                  <c:v>10.516991973775939</c:v>
                </c:pt>
                <c:pt idx="112">
                  <c:v>4.8866117637622608</c:v>
                </c:pt>
                <c:pt idx="113">
                  <c:v>-6.5680656126911057</c:v>
                </c:pt>
                <c:pt idx="114">
                  <c:v>17.123843746812785</c:v>
                </c:pt>
                <c:pt idx="115">
                  <c:v>9.551077865389713</c:v>
                </c:pt>
                <c:pt idx="116">
                  <c:v>13.432468368022635</c:v>
                </c:pt>
                <c:pt idx="117">
                  <c:v>9.9105877533947897</c:v>
                </c:pt>
                <c:pt idx="118">
                  <c:v>6.5000881011557254</c:v>
                </c:pt>
                <c:pt idx="119">
                  <c:v>1.7883202230273936</c:v>
                </c:pt>
                <c:pt idx="120">
                  <c:v>-1.2597293340815603</c:v>
                </c:pt>
                <c:pt idx="121">
                  <c:v>6.5605442370569227</c:v>
                </c:pt>
                <c:pt idx="122">
                  <c:v>5.0285396723395452</c:v>
                </c:pt>
                <c:pt idx="123">
                  <c:v>8.6542885313479978</c:v>
                </c:pt>
                <c:pt idx="124">
                  <c:v>1.170779585702443</c:v>
                </c:pt>
                <c:pt idx="125">
                  <c:v>12.659398451657935</c:v>
                </c:pt>
                <c:pt idx="126">
                  <c:v>5.2515140517446355</c:v>
                </c:pt>
                <c:pt idx="127">
                  <c:v>10.538982299471952</c:v>
                </c:pt>
                <c:pt idx="128">
                  <c:v>8.6936054507258511</c:v>
                </c:pt>
                <c:pt idx="129">
                  <c:v>1.7657566900360582</c:v>
                </c:pt>
                <c:pt idx="130">
                  <c:v>0.99614752779021187</c:v>
                </c:pt>
                <c:pt idx="131">
                  <c:v>0.21554991693938574</c:v>
                </c:pt>
                <c:pt idx="132">
                  <c:v>-4.4733174781403831</c:v>
                </c:pt>
                <c:pt idx="133">
                  <c:v>11.186881818811399</c:v>
                </c:pt>
                <c:pt idx="134">
                  <c:v>-0.33907176394035632</c:v>
                </c:pt>
                <c:pt idx="135">
                  <c:v>2.1995414338374557</c:v>
                </c:pt>
                <c:pt idx="136">
                  <c:v>12.348424486638212</c:v>
                </c:pt>
                <c:pt idx="137">
                  <c:v>1.6847771907088194</c:v>
                </c:pt>
                <c:pt idx="138">
                  <c:v>1.557778041296167</c:v>
                </c:pt>
                <c:pt idx="139">
                  <c:v>3.2864304808140421</c:v>
                </c:pt>
                <c:pt idx="140">
                  <c:v>4.7864107918339176</c:v>
                </c:pt>
                <c:pt idx="141">
                  <c:v>13.550671826311833</c:v>
                </c:pt>
                <c:pt idx="142">
                  <c:v>8.7048106603818169</c:v>
                </c:pt>
                <c:pt idx="143">
                  <c:v>5.5627944638509685</c:v>
                </c:pt>
                <c:pt idx="144">
                  <c:v>16.052182442424826</c:v>
                </c:pt>
                <c:pt idx="145">
                  <c:v>6.2546425179284961</c:v>
                </c:pt>
                <c:pt idx="146">
                  <c:v>4.2935908304563739</c:v>
                </c:pt>
                <c:pt idx="147">
                  <c:v>7.2166845351730746</c:v>
                </c:pt>
                <c:pt idx="148">
                  <c:v>-9.2401234590693537</c:v>
                </c:pt>
                <c:pt idx="149">
                  <c:v>-4.2034902967375158</c:v>
                </c:pt>
                <c:pt idx="150">
                  <c:v>10.3816345273927</c:v>
                </c:pt>
                <c:pt idx="151">
                  <c:v>5.0163430603952719</c:v>
                </c:pt>
                <c:pt idx="152">
                  <c:v>9.3489358978471788</c:v>
                </c:pt>
                <c:pt idx="153">
                  <c:v>5.0487454302053338</c:v>
                </c:pt>
                <c:pt idx="154">
                  <c:v>7.4815068153042548</c:v>
                </c:pt>
                <c:pt idx="155">
                  <c:v>3.2320086328429589</c:v>
                </c:pt>
                <c:pt idx="156">
                  <c:v>7.1573305118582713</c:v>
                </c:pt>
                <c:pt idx="157">
                  <c:v>1.7599217183715308</c:v>
                </c:pt>
                <c:pt idx="158">
                  <c:v>0.30308450727952951</c:v>
                </c:pt>
                <c:pt idx="159">
                  <c:v>10.548171978353412</c:v>
                </c:pt>
                <c:pt idx="160">
                  <c:v>12.847904107158826</c:v>
                </c:pt>
                <c:pt idx="161">
                  <c:v>-12.630389297798914</c:v>
                </c:pt>
                <c:pt idx="162">
                  <c:v>2.3868613269512187</c:v>
                </c:pt>
                <c:pt idx="163">
                  <c:v>5.8524481914215825</c:v>
                </c:pt>
                <c:pt idx="164">
                  <c:v>5.7984012605808637</c:v>
                </c:pt>
                <c:pt idx="165">
                  <c:v>-1.699883970899229</c:v>
                </c:pt>
                <c:pt idx="166">
                  <c:v>9.7956388143370496</c:v>
                </c:pt>
                <c:pt idx="167">
                  <c:v>10.883505346880121</c:v>
                </c:pt>
                <c:pt idx="168">
                  <c:v>-5.5418015548528938</c:v>
                </c:pt>
                <c:pt idx="169">
                  <c:v>-0.77998006410400844</c:v>
                </c:pt>
                <c:pt idx="170">
                  <c:v>15.529236140561423</c:v>
                </c:pt>
                <c:pt idx="171">
                  <c:v>0.49286460272338339</c:v>
                </c:pt>
                <c:pt idx="172">
                  <c:v>1.7232134802081607</c:v>
                </c:pt>
                <c:pt idx="173">
                  <c:v>4.3262485475000965</c:v>
                </c:pt>
                <c:pt idx="174">
                  <c:v>-2.2181831212050906</c:v>
                </c:pt>
                <c:pt idx="175">
                  <c:v>3.5814628780210098</c:v>
                </c:pt>
                <c:pt idx="176">
                  <c:v>2.0423468011540167</c:v>
                </c:pt>
                <c:pt idx="177">
                  <c:v>-4.0793292496335578</c:v>
                </c:pt>
                <c:pt idx="178">
                  <c:v>-4.2982022124434405</c:v>
                </c:pt>
                <c:pt idx="179">
                  <c:v>5.4802112291282894</c:v>
                </c:pt>
                <c:pt idx="180">
                  <c:v>9.0605299316688974</c:v>
                </c:pt>
                <c:pt idx="181">
                  <c:v>0.59710988520170938</c:v>
                </c:pt>
                <c:pt idx="182">
                  <c:v>10.885913972449506</c:v>
                </c:pt>
                <c:pt idx="183">
                  <c:v>12.86746571123791</c:v>
                </c:pt>
                <c:pt idx="184">
                  <c:v>12.29909780784981</c:v>
                </c:pt>
                <c:pt idx="185">
                  <c:v>11.9405482408655</c:v>
                </c:pt>
                <c:pt idx="186">
                  <c:v>3.4675031563143071</c:v>
                </c:pt>
                <c:pt idx="187">
                  <c:v>1.8398494169480542</c:v>
                </c:pt>
                <c:pt idx="188">
                  <c:v>3.6504383860312384</c:v>
                </c:pt>
                <c:pt idx="189">
                  <c:v>7.4741179551225692</c:v>
                </c:pt>
                <c:pt idx="190">
                  <c:v>0.91040189156561724</c:v>
                </c:pt>
                <c:pt idx="191">
                  <c:v>10.731556905456641</c:v>
                </c:pt>
                <c:pt idx="192">
                  <c:v>1.2651779004783987</c:v>
                </c:pt>
                <c:pt idx="193">
                  <c:v>1.739306715660506</c:v>
                </c:pt>
                <c:pt idx="194">
                  <c:v>-12.669034671745683</c:v>
                </c:pt>
                <c:pt idx="195">
                  <c:v>1.0604205801445474</c:v>
                </c:pt>
                <c:pt idx="196">
                  <c:v>6.1293876460705494</c:v>
                </c:pt>
                <c:pt idx="197">
                  <c:v>8.2829334886257655</c:v>
                </c:pt>
                <c:pt idx="198">
                  <c:v>5.9488221295528971</c:v>
                </c:pt>
                <c:pt idx="199">
                  <c:v>4.5198908712134447</c:v>
                </c:pt>
                <c:pt idx="200">
                  <c:v>-0.17543155848740438</c:v>
                </c:pt>
                <c:pt idx="201">
                  <c:v>6.8038795159586645</c:v>
                </c:pt>
                <c:pt idx="202">
                  <c:v>12.078136008064263</c:v>
                </c:pt>
                <c:pt idx="203">
                  <c:v>-4.9650374334945724</c:v>
                </c:pt>
                <c:pt idx="204">
                  <c:v>13.534192891778762</c:v>
                </c:pt>
                <c:pt idx="205">
                  <c:v>22.097882581321922</c:v>
                </c:pt>
                <c:pt idx="206">
                  <c:v>12.386187668133449</c:v>
                </c:pt>
                <c:pt idx="207">
                  <c:v>11.628616076533294</c:v>
                </c:pt>
                <c:pt idx="208">
                  <c:v>7.0345576900684561</c:v>
                </c:pt>
                <c:pt idx="209">
                  <c:v>-10.212188208543042</c:v>
                </c:pt>
                <c:pt idx="210">
                  <c:v>4.2443626854735514</c:v>
                </c:pt>
                <c:pt idx="211">
                  <c:v>3.1776900840051732</c:v>
                </c:pt>
                <c:pt idx="212">
                  <c:v>7.9772391073840581</c:v>
                </c:pt>
                <c:pt idx="213">
                  <c:v>1.0539853406438477</c:v>
                </c:pt>
                <c:pt idx="214">
                  <c:v>-4.6792253683817941</c:v>
                </c:pt>
                <c:pt idx="215">
                  <c:v>-1.4767717367748017</c:v>
                </c:pt>
                <c:pt idx="216">
                  <c:v>0.89550047696471591</c:v>
                </c:pt>
                <c:pt idx="217">
                  <c:v>15.43634078295916</c:v>
                </c:pt>
                <c:pt idx="218">
                  <c:v>5.8096332829482726</c:v>
                </c:pt>
                <c:pt idx="219">
                  <c:v>5.4680995097040652</c:v>
                </c:pt>
                <c:pt idx="220">
                  <c:v>2.2992851735568114</c:v>
                </c:pt>
                <c:pt idx="221">
                  <c:v>6.9637149421908431</c:v>
                </c:pt>
                <c:pt idx="222">
                  <c:v>10.176596281240382</c:v>
                </c:pt>
                <c:pt idx="223">
                  <c:v>5.3400824627705301</c:v>
                </c:pt>
                <c:pt idx="224">
                  <c:v>-0.54220332558441608</c:v>
                </c:pt>
                <c:pt idx="225">
                  <c:v>-2.0044086585823409</c:v>
                </c:pt>
                <c:pt idx="226">
                  <c:v>13.737366377483928</c:v>
                </c:pt>
                <c:pt idx="227">
                  <c:v>-3.9764224003733841</c:v>
                </c:pt>
                <c:pt idx="228">
                  <c:v>1.4556450552144924</c:v>
                </c:pt>
                <c:pt idx="229">
                  <c:v>9.7850272404806127</c:v>
                </c:pt>
                <c:pt idx="230">
                  <c:v>-1.1161954590498671</c:v>
                </c:pt>
                <c:pt idx="231">
                  <c:v>3.0937045953268019</c:v>
                </c:pt>
                <c:pt idx="232">
                  <c:v>20.342719373560236</c:v>
                </c:pt>
                <c:pt idx="233">
                  <c:v>2.4257695203162859</c:v>
                </c:pt>
                <c:pt idx="234">
                  <c:v>1.0137823747437398</c:v>
                </c:pt>
                <c:pt idx="235">
                  <c:v>9.4760203409637196</c:v>
                </c:pt>
                <c:pt idx="236">
                  <c:v>-2.3814735421227726</c:v>
                </c:pt>
                <c:pt idx="237">
                  <c:v>5.7267809904666187</c:v>
                </c:pt>
                <c:pt idx="238">
                  <c:v>9.424478544289606</c:v>
                </c:pt>
                <c:pt idx="239">
                  <c:v>4.6066359264413332</c:v>
                </c:pt>
                <c:pt idx="240">
                  <c:v>14.032515715500777</c:v>
                </c:pt>
                <c:pt idx="241">
                  <c:v>-0.50265062974127295</c:v>
                </c:pt>
                <c:pt idx="242">
                  <c:v>3.8760824508977061</c:v>
                </c:pt>
                <c:pt idx="243">
                  <c:v>5.5946042217774741</c:v>
                </c:pt>
                <c:pt idx="244">
                  <c:v>3.2393232797045401</c:v>
                </c:pt>
                <c:pt idx="245">
                  <c:v>13.009552247467038</c:v>
                </c:pt>
                <c:pt idx="246">
                  <c:v>10.426580589897197</c:v>
                </c:pt>
                <c:pt idx="247">
                  <c:v>1.7365860024593345</c:v>
                </c:pt>
                <c:pt idx="248">
                  <c:v>3.8027181877512382</c:v>
                </c:pt>
                <c:pt idx="249">
                  <c:v>5.9857745582442936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2-478C-A70F-F835CA524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7344"/>
        <c:axId val="19653504"/>
      </c:scatterChart>
      <c:valAx>
        <c:axId val="19657344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3504"/>
        <c:crosses val="autoZero"/>
        <c:crossBetween val="midCat"/>
      </c:valAx>
      <c:valAx>
        <c:axId val="1965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7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39253</xdr:colOff>
      <xdr:row>5</xdr:row>
      <xdr:rowOff>144428</xdr:rowOff>
    </xdr:from>
    <xdr:to>
      <xdr:col>25</xdr:col>
      <xdr:colOff>344053</xdr:colOff>
      <xdr:row>20</xdr:row>
      <xdr:rowOff>171322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0D19EF-1488-1A0D-D2CB-0353330875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55517</xdr:colOff>
      <xdr:row>22</xdr:row>
      <xdr:rowOff>53148</xdr:rowOff>
    </xdr:from>
    <xdr:to>
      <xdr:col>25</xdr:col>
      <xdr:colOff>360317</xdr:colOff>
      <xdr:row>37</xdr:row>
      <xdr:rowOff>101173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6A3FD4-A93B-F9AD-00A0-0643B945B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88878</xdr:colOff>
      <xdr:row>39</xdr:row>
      <xdr:rowOff>57726</xdr:rowOff>
    </xdr:from>
    <xdr:to>
      <xdr:col>25</xdr:col>
      <xdr:colOff>393678</xdr:colOff>
      <xdr:row>54</xdr:row>
      <xdr:rowOff>57726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580703-A048-A34D-B539-579ABC5DF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B2D9-F766-41E6-B6B4-CABBBC0B4D56}">
  <dimension ref="A1:S462"/>
  <sheetViews>
    <sheetView tabSelected="1" topLeftCell="A442" zoomScale="85" zoomScaleNormal="85" workbookViewId="0">
      <selection activeCell="L463" sqref="L463"/>
    </sheetView>
  </sheetViews>
  <sheetFormatPr defaultRowHeight="14.25" x14ac:dyDescent="0.45"/>
  <cols>
    <col min="7" max="7" width="9.53125" bestFit="1" customWidth="1"/>
    <col min="8" max="9" width="11.53125" bestFit="1" customWidth="1"/>
    <col min="11" max="11" width="11" customWidth="1"/>
    <col min="16" max="17" width="9.33203125" bestFit="1" customWidth="1"/>
  </cols>
  <sheetData>
    <row r="1" spans="1:17" x14ac:dyDescent="0.45">
      <c r="A1" t="s">
        <v>0</v>
      </c>
    </row>
    <row r="2" spans="1:17" x14ac:dyDescent="0.45">
      <c r="A2" t="s">
        <v>479</v>
      </c>
    </row>
    <row r="3" spans="1:17" x14ac:dyDescent="0.45">
      <c r="A3" t="s">
        <v>1</v>
      </c>
    </row>
    <row r="4" spans="1:17" s="1" customFormat="1" ht="85.5" x14ac:dyDescent="0.45">
      <c r="A4" s="1" t="s">
        <v>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K4" s="4" t="s">
        <v>276</v>
      </c>
      <c r="L4" s="3" t="s">
        <v>220</v>
      </c>
      <c r="N4" s="6" t="s">
        <v>274</v>
      </c>
      <c r="O4" s="6" t="s">
        <v>275</v>
      </c>
      <c r="P4" s="3" t="s">
        <v>277</v>
      </c>
      <c r="Q4" s="3" t="s">
        <v>278</v>
      </c>
    </row>
    <row r="5" spans="1:17" x14ac:dyDescent="0.45">
      <c r="A5" t="s">
        <v>0</v>
      </c>
      <c r="K5" s="4"/>
      <c r="L5" s="3"/>
      <c r="N5" s="6"/>
      <c r="O5" s="6"/>
      <c r="P5" s="3"/>
      <c r="Q5" s="3"/>
    </row>
    <row r="6" spans="1:17" x14ac:dyDescent="0.45">
      <c r="A6" t="s">
        <v>10</v>
      </c>
      <c r="K6" s="4"/>
      <c r="L6" s="3"/>
      <c r="N6" s="6"/>
      <c r="O6" s="6"/>
      <c r="P6" s="3"/>
      <c r="Q6" s="3"/>
    </row>
    <row r="7" spans="1:17" ht="43.25" customHeight="1" x14ac:dyDescent="0.4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K7" s="5"/>
      <c r="L7" s="3"/>
      <c r="N7" s="7"/>
      <c r="O7" s="7"/>
      <c r="P7" s="3"/>
      <c r="Q7" s="3"/>
    </row>
    <row r="8" spans="1:17" x14ac:dyDescent="0.45">
      <c r="A8" t="s">
        <v>20</v>
      </c>
      <c r="B8">
        <v>56.3</v>
      </c>
      <c r="C8">
        <v>130</v>
      </c>
      <c r="D8">
        <v>9.8910000000000005E-3</v>
      </c>
      <c r="E8">
        <v>23.37</v>
      </c>
      <c r="F8">
        <v>1</v>
      </c>
      <c r="G8">
        <v>4.3924376368522602E-2</v>
      </c>
      <c r="H8">
        <v>526.64829180160098</v>
      </c>
      <c r="I8">
        <v>47.134811891176</v>
      </c>
      <c r="K8">
        <v>4.6922575682401699E-2</v>
      </c>
      <c r="L8" s="2">
        <f>(K8-G8)/G8*100</f>
        <v>6.8258210172966445</v>
      </c>
      <c r="N8">
        <v>48.907039642333977</v>
      </c>
      <c r="O8">
        <v>516.5496826171875</v>
      </c>
      <c r="P8" s="2">
        <f>(N8-I8)/I8*100</f>
        <v>3.7599126421670355</v>
      </c>
      <c r="Q8" s="2">
        <f>(O8-H8)/H8*100</f>
        <v>-1.9175243405551243</v>
      </c>
    </row>
    <row r="9" spans="1:17" x14ac:dyDescent="0.45">
      <c r="A9" t="s">
        <v>21</v>
      </c>
      <c r="B9">
        <v>48.5</v>
      </c>
      <c r="C9">
        <v>104.4</v>
      </c>
      <c r="D9">
        <v>9.2700000000000005E-3</v>
      </c>
      <c r="E9">
        <v>23.26</v>
      </c>
      <c r="F9">
        <v>1</v>
      </c>
      <c r="G9">
        <v>7.0238567888736697E-2</v>
      </c>
      <c r="H9">
        <v>516.16132075666599</v>
      </c>
      <c r="I9">
        <v>40.921609069155302</v>
      </c>
      <c r="K9">
        <v>7.1034461259841919E-2</v>
      </c>
      <c r="L9" s="2">
        <f t="shared" ref="L9:L72" si="0">(K9-G9)/G9*100</f>
        <v>1.1331286998419134</v>
      </c>
      <c r="N9">
        <v>40.016975402832031</v>
      </c>
      <c r="O9">
        <v>513.6514892578125</v>
      </c>
      <c r="P9" s="2">
        <f t="shared" ref="P9:P72" si="1">(N9-I9)/I9*100</f>
        <v>-2.2106502820905427</v>
      </c>
      <c r="Q9" s="2">
        <f t="shared" ref="Q9:Q72" si="2">(O9-H9)/H9*100</f>
        <v>-0.48624943364105672</v>
      </c>
    </row>
    <row r="10" spans="1:17" x14ac:dyDescent="0.45">
      <c r="A10" t="s">
        <v>22</v>
      </c>
      <c r="B10">
        <v>47.6</v>
      </c>
      <c r="C10">
        <v>110.4</v>
      </c>
      <c r="D10">
        <v>7.7869999999999997E-3</v>
      </c>
      <c r="E10">
        <v>20</v>
      </c>
      <c r="F10">
        <v>1</v>
      </c>
      <c r="G10">
        <v>4.74316403269767E-2</v>
      </c>
      <c r="H10">
        <v>497.84256117309098</v>
      </c>
      <c r="I10">
        <v>39.222877912204403</v>
      </c>
      <c r="K10">
        <v>4.8713825643062592E-2</v>
      </c>
      <c r="L10" s="2">
        <f t="shared" si="0"/>
        <v>2.7032278606579205</v>
      </c>
      <c r="N10">
        <v>35.972526550292969</v>
      </c>
      <c r="O10">
        <v>494.27285766601563</v>
      </c>
      <c r="P10" s="2">
        <f t="shared" si="1"/>
        <v>-8.286876269474531</v>
      </c>
      <c r="Q10" s="2">
        <f t="shared" si="2"/>
        <v>-0.71703461806557711</v>
      </c>
    </row>
    <row r="11" spans="1:17" x14ac:dyDescent="0.45">
      <c r="A11" t="s">
        <v>23</v>
      </c>
      <c r="B11">
        <v>50.3</v>
      </c>
      <c r="C11">
        <v>107.1</v>
      </c>
      <c r="D11">
        <v>9.7029999999999998E-3</v>
      </c>
      <c r="E11">
        <v>23.11</v>
      </c>
      <c r="F11">
        <v>1</v>
      </c>
      <c r="G11">
        <v>6.5143913030624306E-2</v>
      </c>
      <c r="H11">
        <v>515.75868807786696</v>
      </c>
      <c r="I11">
        <v>43.028285683612999</v>
      </c>
      <c r="K11">
        <v>6.5165251493453979E-2</v>
      </c>
      <c r="L11" s="2">
        <f t="shared" si="0"/>
        <v>3.2755881304891599E-2</v>
      </c>
      <c r="N11">
        <v>41.527595520019531</v>
      </c>
      <c r="O11">
        <v>514.4310302734375</v>
      </c>
      <c r="P11" s="2">
        <f t="shared" si="1"/>
        <v>-3.487682903818301</v>
      </c>
      <c r="Q11" s="2">
        <f t="shared" si="2"/>
        <v>-0.25741840808874944</v>
      </c>
    </row>
    <row r="12" spans="1:17" x14ac:dyDescent="0.45">
      <c r="A12" t="s">
        <v>24</v>
      </c>
      <c r="B12">
        <v>43.5</v>
      </c>
      <c r="C12">
        <v>130</v>
      </c>
      <c r="D12">
        <v>8.0000000000000002E-3</v>
      </c>
      <c r="E12">
        <v>31.15</v>
      </c>
      <c r="F12">
        <v>1</v>
      </c>
      <c r="G12">
        <v>3.4075334668159402E-2</v>
      </c>
      <c r="H12">
        <v>573.32829180160297</v>
      </c>
      <c r="I12">
        <v>29.130494103748099</v>
      </c>
      <c r="K12">
        <v>3.6720413714647293E-2</v>
      </c>
      <c r="L12" s="2">
        <f t="shared" si="0"/>
        <v>7.762444807209774</v>
      </c>
      <c r="N12">
        <v>28.499330520629879</v>
      </c>
      <c r="O12">
        <v>567.4134521484375</v>
      </c>
      <c r="P12" s="2">
        <f t="shared" si="1"/>
        <v>-2.1666765447586767</v>
      </c>
      <c r="Q12" s="2">
        <f t="shared" si="2"/>
        <v>-1.0316671508707389</v>
      </c>
    </row>
    <row r="13" spans="1:17" x14ac:dyDescent="0.45">
      <c r="A13" t="s">
        <v>25</v>
      </c>
      <c r="B13">
        <v>65.2</v>
      </c>
      <c r="C13">
        <v>114.9</v>
      </c>
      <c r="D13">
        <v>1.4123E-2</v>
      </c>
      <c r="E13">
        <v>23.6</v>
      </c>
      <c r="F13">
        <v>1</v>
      </c>
      <c r="G13">
        <v>7.4692301452159798E-2</v>
      </c>
      <c r="H13">
        <v>520.722993333565</v>
      </c>
      <c r="I13">
        <v>62.695235600126502</v>
      </c>
      <c r="K13">
        <v>7.740001380443573E-2</v>
      </c>
      <c r="L13" s="2">
        <f t="shared" si="0"/>
        <v>3.6251558723360713</v>
      </c>
      <c r="N13">
        <v>63.161590576171882</v>
      </c>
      <c r="O13">
        <v>522.2593994140625</v>
      </c>
      <c r="P13" s="2">
        <f t="shared" si="1"/>
        <v>0.74384436326201386</v>
      </c>
      <c r="Q13" s="2">
        <f t="shared" si="2"/>
        <v>0.29505247514839583</v>
      </c>
    </row>
    <row r="14" spans="1:17" x14ac:dyDescent="0.45">
      <c r="A14" t="s">
        <v>26</v>
      </c>
      <c r="B14">
        <v>55.4</v>
      </c>
      <c r="C14">
        <v>102.1</v>
      </c>
      <c r="D14">
        <v>1.4385E-2</v>
      </c>
      <c r="E14">
        <v>30.32</v>
      </c>
      <c r="F14">
        <v>1</v>
      </c>
      <c r="G14">
        <v>0.121820986270904</v>
      </c>
      <c r="H14">
        <v>558.17160564727305</v>
      </c>
      <c r="I14">
        <v>51.249745558352302</v>
      </c>
      <c r="K14">
        <v>0.1162346303462982</v>
      </c>
      <c r="L14" s="2">
        <f t="shared" si="0"/>
        <v>-4.5857089944937135</v>
      </c>
      <c r="N14">
        <v>52.030193328857422</v>
      </c>
      <c r="O14">
        <v>555.18560791015625</v>
      </c>
      <c r="P14" s="2">
        <f t="shared" si="1"/>
        <v>1.5228324784881362</v>
      </c>
      <c r="Q14" s="2">
        <f t="shared" si="2"/>
        <v>-0.53496052233867197</v>
      </c>
    </row>
    <row r="15" spans="1:17" x14ac:dyDescent="0.45">
      <c r="A15" t="s">
        <v>27</v>
      </c>
      <c r="B15">
        <v>79.400000000000006</v>
      </c>
      <c r="C15">
        <v>113.7</v>
      </c>
      <c r="D15">
        <v>1.9746E-2</v>
      </c>
      <c r="E15">
        <v>25.29</v>
      </c>
      <c r="F15">
        <v>1</v>
      </c>
      <c r="G15">
        <v>0.10627036541700299</v>
      </c>
      <c r="H15">
        <v>530.48942131801903</v>
      </c>
      <c r="I15">
        <v>82.379734633997998</v>
      </c>
      <c r="K15">
        <v>0.10162770748138431</v>
      </c>
      <c r="L15" s="2">
        <f t="shared" si="0"/>
        <v>-4.368723037133619</v>
      </c>
      <c r="N15">
        <v>83.837074279785156</v>
      </c>
      <c r="O15">
        <v>527.96630859375</v>
      </c>
      <c r="P15" s="2">
        <f t="shared" si="1"/>
        <v>1.7690511534929323</v>
      </c>
      <c r="Q15" s="2">
        <f t="shared" si="2"/>
        <v>-0.47561979991990544</v>
      </c>
    </row>
    <row r="16" spans="1:17" x14ac:dyDescent="0.45">
      <c r="A16" t="s">
        <v>28</v>
      </c>
      <c r="B16">
        <v>51.4</v>
      </c>
      <c r="C16">
        <v>111.5</v>
      </c>
      <c r="D16">
        <v>1.1269E-2</v>
      </c>
      <c r="E16">
        <v>27.39</v>
      </c>
      <c r="F16">
        <v>1</v>
      </c>
      <c r="G16">
        <v>6.3619233667850494E-2</v>
      </c>
      <c r="H16">
        <v>542.46593404416001</v>
      </c>
      <c r="I16">
        <v>44.241834195397999</v>
      </c>
      <c r="K16">
        <v>6.7761898040771484E-2</v>
      </c>
      <c r="L16" s="2">
        <f t="shared" si="0"/>
        <v>6.5116539984581028</v>
      </c>
      <c r="N16">
        <v>44.396450042724609</v>
      </c>
      <c r="O16">
        <v>542.27142333984375</v>
      </c>
      <c r="P16" s="2">
        <f t="shared" si="1"/>
        <v>0.34947883635143995</v>
      </c>
      <c r="Q16" s="2">
        <f t="shared" si="2"/>
        <v>-3.5856759311345736E-2</v>
      </c>
    </row>
    <row r="17" spans="1:17" x14ac:dyDescent="0.45">
      <c r="A17" t="s">
        <v>29</v>
      </c>
      <c r="B17">
        <v>46</v>
      </c>
      <c r="C17">
        <v>104.8</v>
      </c>
      <c r="D17">
        <v>8.9580000000000007E-3</v>
      </c>
      <c r="E17">
        <v>25.05</v>
      </c>
      <c r="F17">
        <v>1</v>
      </c>
      <c r="G17">
        <v>6.6081345081329304E-2</v>
      </c>
      <c r="H17">
        <v>526.96897187354205</v>
      </c>
      <c r="I17">
        <v>37.407064517576799</v>
      </c>
      <c r="K17">
        <v>6.8029880523681641E-2</v>
      </c>
      <c r="L17" s="2">
        <f t="shared" si="0"/>
        <v>2.9486921610844723</v>
      </c>
      <c r="N17">
        <v>36.086147308349609</v>
      </c>
      <c r="O17">
        <v>522.956298828125</v>
      </c>
      <c r="P17" s="2">
        <f t="shared" si="1"/>
        <v>-3.5311971849769677</v>
      </c>
      <c r="Q17" s="2">
        <f t="shared" si="2"/>
        <v>-0.76146286775684702</v>
      </c>
    </row>
    <row r="18" spans="1:17" x14ac:dyDescent="0.45">
      <c r="A18" t="s">
        <v>30</v>
      </c>
      <c r="B18">
        <v>79.5</v>
      </c>
      <c r="C18">
        <v>113.3</v>
      </c>
      <c r="D18">
        <v>2.5881000000000001E-2</v>
      </c>
      <c r="E18">
        <v>35</v>
      </c>
      <c r="F18">
        <v>1</v>
      </c>
      <c r="G18">
        <v>0.13454669713973999</v>
      </c>
      <c r="H18">
        <v>588.630256136301</v>
      </c>
      <c r="I18">
        <v>80.767734540331304</v>
      </c>
      <c r="K18">
        <v>0.14261581003665921</v>
      </c>
      <c r="L18" s="2">
        <f t="shared" si="0"/>
        <v>5.9972582519351292</v>
      </c>
      <c r="N18">
        <v>81.807479858398438</v>
      </c>
      <c r="O18">
        <v>586.23779296875</v>
      </c>
      <c r="P18" s="2">
        <f t="shared" si="1"/>
        <v>1.2873275745377475</v>
      </c>
      <c r="Q18" s="2">
        <f t="shared" si="2"/>
        <v>-0.40644583634807419</v>
      </c>
    </row>
    <row r="19" spans="1:17" x14ac:dyDescent="0.45">
      <c r="A19" t="s">
        <v>31</v>
      </c>
      <c r="B19">
        <v>70.8</v>
      </c>
      <c r="C19">
        <v>130</v>
      </c>
      <c r="D19">
        <v>1.6979999999999999E-2</v>
      </c>
      <c r="E19">
        <v>30.44</v>
      </c>
      <c r="F19">
        <v>1.1499999999999999</v>
      </c>
      <c r="G19">
        <v>7.2614163160324097E-2</v>
      </c>
      <c r="H19">
        <v>598.81402492240102</v>
      </c>
      <c r="I19">
        <v>66.544255558353598</v>
      </c>
      <c r="K19">
        <v>8.5474148392677307E-2</v>
      </c>
      <c r="L19" s="2">
        <f t="shared" si="0"/>
        <v>17.71002332418233</v>
      </c>
      <c r="N19">
        <v>67.196914672851563</v>
      </c>
      <c r="O19">
        <v>581.4134521484375</v>
      </c>
      <c r="P19" s="2">
        <f t="shared" si="1"/>
        <v>0.98078956481170454</v>
      </c>
      <c r="Q19" s="2">
        <f t="shared" si="2"/>
        <v>-2.9058392171456604</v>
      </c>
    </row>
    <row r="20" spans="1:17" x14ac:dyDescent="0.45">
      <c r="A20" t="s">
        <v>32</v>
      </c>
      <c r="B20">
        <v>84.6</v>
      </c>
      <c r="C20">
        <v>116.9</v>
      </c>
      <c r="D20">
        <v>1.7555000000000001E-2</v>
      </c>
      <c r="E20">
        <v>20</v>
      </c>
      <c r="F20">
        <v>1</v>
      </c>
      <c r="G20">
        <v>9.1543011367321001E-2</v>
      </c>
      <c r="H20">
        <v>499.80153667950401</v>
      </c>
      <c r="I20">
        <v>90.829805377058605</v>
      </c>
      <c r="K20">
        <v>0.10033074021339421</v>
      </c>
      <c r="L20" s="2">
        <f t="shared" si="0"/>
        <v>9.5995627790875222</v>
      </c>
      <c r="N20">
        <v>92.9285888671875</v>
      </c>
      <c r="O20">
        <v>486.89019775390619</v>
      </c>
      <c r="P20" s="2">
        <f t="shared" si="1"/>
        <v>2.3106770750155063</v>
      </c>
      <c r="Q20" s="2">
        <f t="shared" si="2"/>
        <v>-2.5832931629974496</v>
      </c>
    </row>
    <row r="21" spans="1:17" x14ac:dyDescent="0.45">
      <c r="A21" t="s">
        <v>33</v>
      </c>
      <c r="B21">
        <v>56.3</v>
      </c>
      <c r="C21">
        <v>130</v>
      </c>
      <c r="D21">
        <v>1.0244E-2</v>
      </c>
      <c r="E21">
        <v>24.48</v>
      </c>
      <c r="F21">
        <v>1</v>
      </c>
      <c r="G21">
        <v>4.5169662684202097E-2</v>
      </c>
      <c r="H21">
        <v>533.30829180160299</v>
      </c>
      <c r="I21">
        <v>46.957367916501397</v>
      </c>
      <c r="K21">
        <v>5.0377633422613137E-2</v>
      </c>
      <c r="L21" s="2">
        <f t="shared" si="0"/>
        <v>11.529797720257287</v>
      </c>
      <c r="N21">
        <v>48.520477294921882</v>
      </c>
      <c r="O21">
        <v>522.1654052734375</v>
      </c>
      <c r="P21" s="2">
        <f t="shared" si="1"/>
        <v>3.328784060469431</v>
      </c>
      <c r="Q21" s="2">
        <f t="shared" si="2"/>
        <v>-2.0893893268606401</v>
      </c>
    </row>
    <row r="22" spans="1:17" x14ac:dyDescent="0.45">
      <c r="A22" t="s">
        <v>34</v>
      </c>
      <c r="B22">
        <v>62.4</v>
      </c>
      <c r="C22">
        <v>107.7</v>
      </c>
      <c r="D22">
        <v>1.8157E-2</v>
      </c>
      <c r="E22">
        <v>33.14</v>
      </c>
      <c r="F22">
        <v>1</v>
      </c>
      <c r="G22">
        <v>0.11421258747577601</v>
      </c>
      <c r="H22">
        <v>576.06249847335403</v>
      </c>
      <c r="I22">
        <v>59.376921425536402</v>
      </c>
      <c r="K22">
        <v>0.1143049448728561</v>
      </c>
      <c r="L22" s="2">
        <f t="shared" si="0"/>
        <v>8.0864464347838089E-2</v>
      </c>
      <c r="N22">
        <v>59.592731475830078</v>
      </c>
      <c r="O22">
        <v>575.344482421875</v>
      </c>
      <c r="P22" s="2">
        <f t="shared" si="1"/>
        <v>0.3634577965856986</v>
      </c>
      <c r="Q22" s="2">
        <f t="shared" si="2"/>
        <v>-0.1246420402962992</v>
      </c>
    </row>
    <row r="23" spans="1:17" x14ac:dyDescent="0.45">
      <c r="A23" t="s">
        <v>35</v>
      </c>
      <c r="B23">
        <v>57</v>
      </c>
      <c r="C23">
        <v>126</v>
      </c>
      <c r="D23">
        <v>1.1427E-2</v>
      </c>
      <c r="E23">
        <v>26.07</v>
      </c>
      <c r="F23">
        <v>1</v>
      </c>
      <c r="G23">
        <v>5.09703271090984E-2</v>
      </c>
      <c r="H23">
        <v>540.35207657563296</v>
      </c>
      <c r="I23">
        <v>48.991405098965799</v>
      </c>
      <c r="K23">
        <v>5.8444909751415253E-2</v>
      </c>
      <c r="L23" s="2">
        <f t="shared" si="0"/>
        <v>14.664576561021542</v>
      </c>
      <c r="N23">
        <v>50.056026458740227</v>
      </c>
      <c r="O23">
        <v>530.02618408203125</v>
      </c>
      <c r="P23" s="2">
        <f t="shared" si="1"/>
        <v>2.1730778238015911</v>
      </c>
      <c r="Q23" s="2">
        <f t="shared" si="2"/>
        <v>-1.9109563821869389</v>
      </c>
    </row>
    <row r="24" spans="1:17" x14ac:dyDescent="0.45">
      <c r="A24" t="s">
        <v>36</v>
      </c>
      <c r="B24">
        <v>47.7</v>
      </c>
      <c r="C24">
        <v>107.2</v>
      </c>
      <c r="D24">
        <v>8.6370000000000006E-3</v>
      </c>
      <c r="E24">
        <v>22.35</v>
      </c>
      <c r="F24">
        <v>1</v>
      </c>
      <c r="G24">
        <v>5.7979967445135103E-2</v>
      </c>
      <c r="H24">
        <v>511.21897998859799</v>
      </c>
      <c r="I24">
        <v>39.846344380148302</v>
      </c>
      <c r="K24">
        <v>5.9004262089729309E-2</v>
      </c>
      <c r="L24" s="2">
        <f t="shared" si="0"/>
        <v>1.766635425526013</v>
      </c>
      <c r="N24">
        <v>37.616756439208977</v>
      </c>
      <c r="O24">
        <v>510.36752319335938</v>
      </c>
      <c r="P24" s="2">
        <f t="shared" si="1"/>
        <v>-5.5954642154077243</v>
      </c>
      <c r="Q24" s="2">
        <f t="shared" si="2"/>
        <v>-0.16655422207868911</v>
      </c>
    </row>
    <row r="25" spans="1:17" x14ac:dyDescent="0.45">
      <c r="A25" t="s">
        <v>37</v>
      </c>
      <c r="B25">
        <v>64.900000000000006</v>
      </c>
      <c r="C25">
        <v>127.1</v>
      </c>
      <c r="D25">
        <v>1.5900000000000001E-2</v>
      </c>
      <c r="E25">
        <v>31.42</v>
      </c>
      <c r="F25">
        <v>1.03</v>
      </c>
      <c r="G25">
        <v>6.8504527211189201E-2</v>
      </c>
      <c r="H25">
        <v>579.19690823162</v>
      </c>
      <c r="I25">
        <v>57.953890305807903</v>
      </c>
      <c r="K25">
        <v>7.5269877910614014E-2</v>
      </c>
      <c r="L25" s="2">
        <f t="shared" si="0"/>
        <v>9.8757716823126884</v>
      </c>
      <c r="N25">
        <v>58.578132629394531</v>
      </c>
      <c r="O25">
        <v>567.6190185546875</v>
      </c>
      <c r="P25" s="2">
        <f t="shared" si="1"/>
        <v>1.0771361858412969</v>
      </c>
      <c r="Q25" s="2">
        <f t="shared" si="2"/>
        <v>-1.9989557113282308</v>
      </c>
    </row>
    <row r="26" spans="1:17" x14ac:dyDescent="0.45">
      <c r="A26" t="s">
        <v>38</v>
      </c>
      <c r="B26">
        <v>60.1</v>
      </c>
      <c r="C26">
        <v>119.1</v>
      </c>
      <c r="D26">
        <v>1.1815000000000001E-2</v>
      </c>
      <c r="E26">
        <v>22.71</v>
      </c>
      <c r="F26">
        <v>1</v>
      </c>
      <c r="G26">
        <v>5.8156944811344098E-2</v>
      </c>
      <c r="H26">
        <v>516.89429822235002</v>
      </c>
      <c r="I26">
        <v>54.827735843124998</v>
      </c>
      <c r="K26">
        <v>6.3667543232440948E-2</v>
      </c>
      <c r="L26" s="2">
        <f t="shared" si="0"/>
        <v>9.4753918710357574</v>
      </c>
      <c r="N26">
        <v>56.067996978759773</v>
      </c>
      <c r="O26">
        <v>514.9422607421875</v>
      </c>
      <c r="P26" s="2">
        <f t="shared" si="1"/>
        <v>2.2621053314757562</v>
      </c>
      <c r="Q26" s="2">
        <f t="shared" si="2"/>
        <v>-0.37764732303601806</v>
      </c>
    </row>
    <row r="27" spans="1:17" x14ac:dyDescent="0.45">
      <c r="A27" t="s">
        <v>39</v>
      </c>
      <c r="B27">
        <v>55.7</v>
      </c>
      <c r="C27">
        <v>109.2</v>
      </c>
      <c r="D27">
        <v>1.2132E-2</v>
      </c>
      <c r="E27">
        <v>25.21</v>
      </c>
      <c r="F27">
        <v>1</v>
      </c>
      <c r="G27">
        <v>7.4501998722553198E-2</v>
      </c>
      <c r="H27">
        <v>528.814024108083</v>
      </c>
      <c r="I27">
        <v>50.1709230081252</v>
      </c>
      <c r="K27">
        <v>7.4573680758476257E-2</v>
      </c>
      <c r="L27" s="2">
        <f t="shared" si="0"/>
        <v>9.6214916582311932E-2</v>
      </c>
      <c r="N27">
        <v>49.821208953857422</v>
      </c>
      <c r="O27">
        <v>530.23046875</v>
      </c>
      <c r="P27" s="2">
        <f t="shared" si="1"/>
        <v>-0.69704528699051849</v>
      </c>
      <c r="Q27" s="2">
        <f t="shared" si="2"/>
        <v>0.26785307827378885</v>
      </c>
    </row>
    <row r="28" spans="1:17" x14ac:dyDescent="0.45">
      <c r="A28" t="s">
        <v>40</v>
      </c>
      <c r="B28">
        <v>63.6</v>
      </c>
      <c r="C28">
        <v>117.4</v>
      </c>
      <c r="D28">
        <v>1.2111E-2</v>
      </c>
      <c r="E28">
        <v>20.68</v>
      </c>
      <c r="F28">
        <v>1</v>
      </c>
      <c r="G28">
        <v>6.2235504388809197E-2</v>
      </c>
      <c r="H28">
        <v>504.06260004182002</v>
      </c>
      <c r="I28">
        <v>61.141464170920798</v>
      </c>
      <c r="K28">
        <v>6.4599044620990753E-2</v>
      </c>
      <c r="L28" s="2">
        <f t="shared" si="0"/>
        <v>3.797736124086998</v>
      </c>
      <c r="N28">
        <v>62.074810028076172</v>
      </c>
      <c r="O28">
        <v>502.53955078125</v>
      </c>
      <c r="P28" s="2">
        <f t="shared" si="1"/>
        <v>1.5265350115695753</v>
      </c>
      <c r="Q28" s="2">
        <f t="shared" si="2"/>
        <v>-0.30215478403747037</v>
      </c>
    </row>
    <row r="29" spans="1:17" x14ac:dyDescent="0.45">
      <c r="A29" t="s">
        <v>41</v>
      </c>
      <c r="B29">
        <v>70.5</v>
      </c>
      <c r="C29">
        <v>111.9</v>
      </c>
      <c r="D29">
        <v>1.6541E-2</v>
      </c>
      <c r="E29">
        <v>24.5</v>
      </c>
      <c r="F29">
        <v>1</v>
      </c>
      <c r="G29">
        <v>9.3746051192283603E-2</v>
      </c>
      <c r="H29">
        <v>525.23357910599395</v>
      </c>
      <c r="I29">
        <v>70.037056056677798</v>
      </c>
      <c r="K29">
        <v>9.2780306935310364E-2</v>
      </c>
      <c r="L29" s="2">
        <f t="shared" si="0"/>
        <v>-1.0301705988579613</v>
      </c>
      <c r="N29">
        <v>72.286514282226563</v>
      </c>
      <c r="O29">
        <v>525.30853271484375</v>
      </c>
      <c r="P29" s="2">
        <f t="shared" si="1"/>
        <v>3.2118115069376709</v>
      </c>
      <c r="Q29" s="2">
        <f t="shared" si="2"/>
        <v>1.4270528738352101E-2</v>
      </c>
    </row>
    <row r="30" spans="1:17" x14ac:dyDescent="0.45">
      <c r="A30" t="s">
        <v>42</v>
      </c>
      <c r="B30">
        <v>65.900000000000006</v>
      </c>
      <c r="C30">
        <v>119.6</v>
      </c>
      <c r="D30">
        <v>1.3453E-2</v>
      </c>
      <c r="E30">
        <v>22.67</v>
      </c>
      <c r="F30">
        <v>1</v>
      </c>
      <c r="G30">
        <v>6.5755456686019897E-2</v>
      </c>
      <c r="H30">
        <v>516.85697606241195</v>
      </c>
      <c r="I30">
        <v>63.0514835627054</v>
      </c>
      <c r="K30">
        <v>6.8607442080974579E-2</v>
      </c>
      <c r="L30" s="2">
        <f t="shared" si="0"/>
        <v>4.3372604171435025</v>
      </c>
      <c r="N30">
        <v>62.332935333251953</v>
      </c>
      <c r="O30">
        <v>514.39312744140625</v>
      </c>
      <c r="P30" s="2">
        <f t="shared" si="1"/>
        <v>-1.1396214471921862</v>
      </c>
      <c r="Q30" s="2">
        <f t="shared" si="2"/>
        <v>-0.47669833921486604</v>
      </c>
    </row>
    <row r="31" spans="1:17" x14ac:dyDescent="0.45">
      <c r="A31" t="s">
        <v>43</v>
      </c>
      <c r="B31">
        <v>89.7</v>
      </c>
      <c r="C31">
        <v>103.3</v>
      </c>
      <c r="D31">
        <v>3.1139E-2</v>
      </c>
      <c r="E31">
        <v>34.1</v>
      </c>
      <c r="F31">
        <v>1</v>
      </c>
      <c r="G31">
        <v>0.24251189827919001</v>
      </c>
      <c r="H31">
        <v>581.02580113025397</v>
      </c>
      <c r="I31">
        <v>99.117876899316897</v>
      </c>
      <c r="K31">
        <v>0.23975053429603579</v>
      </c>
      <c r="L31" s="2">
        <f t="shared" si="0"/>
        <v>-1.1386509291907871</v>
      </c>
      <c r="N31">
        <v>102.26796722412109</v>
      </c>
      <c r="O31">
        <v>587.50677490234375</v>
      </c>
      <c r="P31" s="2">
        <f t="shared" si="1"/>
        <v>3.1781253022641232</v>
      </c>
      <c r="Q31" s="2">
        <f t="shared" si="2"/>
        <v>1.1154364848312275</v>
      </c>
    </row>
    <row r="32" spans="1:17" x14ac:dyDescent="0.45">
      <c r="A32" t="s">
        <v>44</v>
      </c>
      <c r="B32">
        <v>79.599999999999994</v>
      </c>
      <c r="C32">
        <v>124.3</v>
      </c>
      <c r="D32">
        <v>2.1371000000000001E-2</v>
      </c>
      <c r="E32">
        <v>30.8</v>
      </c>
      <c r="F32">
        <v>1</v>
      </c>
      <c r="G32">
        <v>9.4225153326988206E-2</v>
      </c>
      <c r="H32">
        <v>567.81197864488104</v>
      </c>
      <c r="I32">
        <v>78.3039789319633</v>
      </c>
      <c r="K32">
        <v>9.840817004442215E-2</v>
      </c>
      <c r="L32" s="2">
        <f t="shared" si="0"/>
        <v>4.4393843572933012</v>
      </c>
      <c r="N32">
        <v>79.694969177246094</v>
      </c>
      <c r="O32">
        <v>561.02703857421875</v>
      </c>
      <c r="P32" s="2">
        <f t="shared" si="1"/>
        <v>1.776397910113094</v>
      </c>
      <c r="Q32" s="2">
        <f t="shared" si="2"/>
        <v>-1.1949272515974341</v>
      </c>
    </row>
    <row r="33" spans="1:17" x14ac:dyDescent="0.45">
      <c r="A33" t="s">
        <v>45</v>
      </c>
      <c r="B33">
        <v>56.8</v>
      </c>
      <c r="C33">
        <v>125.7</v>
      </c>
      <c r="D33">
        <v>1.1004999999999999E-2</v>
      </c>
      <c r="E33">
        <v>24.93</v>
      </c>
      <c r="F33">
        <v>1</v>
      </c>
      <c r="G33">
        <v>4.95630428194999E-2</v>
      </c>
      <c r="H33">
        <v>533.34404467898798</v>
      </c>
      <c r="I33">
        <v>48.363805421132298</v>
      </c>
      <c r="K33">
        <v>5.4761212319135673E-2</v>
      </c>
      <c r="L33" s="2">
        <f t="shared" si="0"/>
        <v>10.487995094584113</v>
      </c>
      <c r="N33">
        <v>50.206783294677727</v>
      </c>
      <c r="O33">
        <v>523.9697265625</v>
      </c>
      <c r="P33" s="2">
        <f t="shared" si="1"/>
        <v>3.810655215191463</v>
      </c>
      <c r="Q33" s="2">
        <f t="shared" si="2"/>
        <v>-1.7576493466108261</v>
      </c>
    </row>
    <row r="34" spans="1:17" x14ac:dyDescent="0.45">
      <c r="A34" t="s">
        <v>46</v>
      </c>
      <c r="B34">
        <v>87.4</v>
      </c>
      <c r="C34">
        <v>117.7</v>
      </c>
      <c r="D34">
        <v>2.3806999999999998E-2</v>
      </c>
      <c r="E34">
        <v>28.21</v>
      </c>
      <c r="F34">
        <v>1</v>
      </c>
      <c r="G34">
        <v>0.115941025316715</v>
      </c>
      <c r="H34">
        <v>549.35351099403204</v>
      </c>
      <c r="I34">
        <v>92.127318880553801</v>
      </c>
      <c r="K34">
        <v>0.1133663207292557</v>
      </c>
      <c r="L34" s="2">
        <f t="shared" si="0"/>
        <v>-2.2207019305082083</v>
      </c>
      <c r="N34">
        <v>94.138931274414063</v>
      </c>
      <c r="O34">
        <v>546.57830810546875</v>
      </c>
      <c r="P34" s="2">
        <f t="shared" si="1"/>
        <v>2.1835134445499116</v>
      </c>
      <c r="Q34" s="2">
        <f t="shared" si="2"/>
        <v>-0.50517614487284745</v>
      </c>
    </row>
    <row r="35" spans="1:17" x14ac:dyDescent="0.45">
      <c r="A35" t="s">
        <v>47</v>
      </c>
      <c r="B35">
        <v>82.9</v>
      </c>
      <c r="C35">
        <v>116</v>
      </c>
      <c r="D35">
        <v>1.9224000000000002E-2</v>
      </c>
      <c r="E35">
        <v>23.16</v>
      </c>
      <c r="F35">
        <v>1</v>
      </c>
      <c r="G35">
        <v>9.9680408835411002E-2</v>
      </c>
      <c r="H35">
        <v>518.44729924274702</v>
      </c>
      <c r="I35">
        <v>87.630737365959803</v>
      </c>
      <c r="K35">
        <v>0.1035604104399681</v>
      </c>
      <c r="L35" s="2">
        <f t="shared" si="0"/>
        <v>3.89244150368968</v>
      </c>
      <c r="N35">
        <v>89.062545776367188</v>
      </c>
      <c r="O35">
        <v>513.19635009765625</v>
      </c>
      <c r="P35" s="2">
        <f t="shared" si="1"/>
        <v>1.6339111748289035</v>
      </c>
      <c r="Q35" s="2">
        <f t="shared" si="2"/>
        <v>-1.0128221620134579</v>
      </c>
    </row>
    <row r="36" spans="1:17" x14ac:dyDescent="0.45">
      <c r="A36" t="s">
        <v>48</v>
      </c>
      <c r="B36">
        <v>73.8</v>
      </c>
      <c r="C36">
        <v>109.3</v>
      </c>
      <c r="D36">
        <v>2.3935999999999999E-2</v>
      </c>
      <c r="E36">
        <v>35</v>
      </c>
      <c r="F36">
        <v>1</v>
      </c>
      <c r="G36">
        <v>0.140761718153953</v>
      </c>
      <c r="H36">
        <v>587.57726543475701</v>
      </c>
      <c r="I36">
        <v>74.110790650710797</v>
      </c>
      <c r="K36">
        <v>0.14727200567722321</v>
      </c>
      <c r="L36" s="2">
        <f t="shared" si="0"/>
        <v>4.6250412460508743</v>
      </c>
      <c r="N36">
        <v>75.634292602539063</v>
      </c>
      <c r="O36">
        <v>587.1060791015625</v>
      </c>
      <c r="P36" s="2">
        <f t="shared" si="1"/>
        <v>2.0557086740696562</v>
      </c>
      <c r="Q36" s="2">
        <f t="shared" si="2"/>
        <v>-8.0191382633885949E-2</v>
      </c>
    </row>
    <row r="37" spans="1:17" x14ac:dyDescent="0.45">
      <c r="A37" t="s">
        <v>49</v>
      </c>
      <c r="B37">
        <v>73.599999999999994</v>
      </c>
      <c r="C37">
        <v>110.7</v>
      </c>
      <c r="D37">
        <v>2.2773999999999999E-2</v>
      </c>
      <c r="E37">
        <v>33.42</v>
      </c>
      <c r="F37">
        <v>1</v>
      </c>
      <c r="G37">
        <v>0.12836684286594299</v>
      </c>
      <c r="H37">
        <v>578.43802696960097</v>
      </c>
      <c r="I37">
        <v>73.862336445447895</v>
      </c>
      <c r="K37">
        <v>0.13442553579807279</v>
      </c>
      <c r="L37" s="2">
        <f t="shared" si="0"/>
        <v>4.7198270183033584</v>
      </c>
      <c r="N37">
        <v>75.404487609863281</v>
      </c>
      <c r="O37">
        <v>578.2861328125</v>
      </c>
      <c r="P37" s="2">
        <f t="shared" si="1"/>
        <v>2.0878721668307434</v>
      </c>
      <c r="Q37" s="2">
        <f t="shared" si="2"/>
        <v>-2.6259365743419853E-2</v>
      </c>
    </row>
    <row r="38" spans="1:17" x14ac:dyDescent="0.45">
      <c r="A38" t="s">
        <v>50</v>
      </c>
      <c r="B38">
        <v>74</v>
      </c>
      <c r="C38">
        <v>121.1</v>
      </c>
      <c r="D38">
        <v>1.9824000000000001E-2</v>
      </c>
      <c r="E38">
        <v>30.62</v>
      </c>
      <c r="F38">
        <v>1</v>
      </c>
      <c r="G38">
        <v>9.0658612549304907E-2</v>
      </c>
      <c r="H38">
        <v>565.19658613061904</v>
      </c>
      <c r="I38">
        <v>71.842890338336304</v>
      </c>
      <c r="K38">
        <v>9.6676193177700043E-2</v>
      </c>
      <c r="L38" s="2">
        <f t="shared" si="0"/>
        <v>6.6376270926520746</v>
      </c>
      <c r="N38">
        <v>72.678413391113281</v>
      </c>
      <c r="O38">
        <v>559.6826171875</v>
      </c>
      <c r="P38" s="2">
        <f t="shared" si="1"/>
        <v>1.162986412214448</v>
      </c>
      <c r="Q38" s="2">
        <f t="shared" si="2"/>
        <v>-0.97558426190577519</v>
      </c>
    </row>
    <row r="39" spans="1:17" x14ac:dyDescent="0.45">
      <c r="A39" t="s">
        <v>51</v>
      </c>
      <c r="B39">
        <v>63.5</v>
      </c>
      <c r="C39">
        <v>106.2</v>
      </c>
      <c r="D39">
        <v>1.5977000000000002E-2</v>
      </c>
      <c r="E39">
        <v>27.3</v>
      </c>
      <c r="F39">
        <v>1</v>
      </c>
      <c r="G39">
        <v>0.10939566045999501</v>
      </c>
      <c r="H39">
        <v>540.72216079738598</v>
      </c>
      <c r="I39">
        <v>61.064685538141902</v>
      </c>
      <c r="K39">
        <v>0.1075792759656906</v>
      </c>
      <c r="L39" s="2">
        <f t="shared" si="0"/>
        <v>-1.6603807561165942</v>
      </c>
      <c r="N39">
        <v>60.82305908203125</v>
      </c>
      <c r="O39">
        <v>534.94219970703125</v>
      </c>
      <c r="P39" s="2">
        <f t="shared" si="1"/>
        <v>-0.39568934807619394</v>
      </c>
      <c r="Q39" s="2">
        <f t="shared" si="2"/>
        <v>-1.0689336427105567</v>
      </c>
    </row>
    <row r="40" spans="1:17" x14ac:dyDescent="0.45">
      <c r="A40" t="s">
        <v>52</v>
      </c>
      <c r="B40">
        <v>87.4</v>
      </c>
      <c r="C40">
        <v>130</v>
      </c>
      <c r="D40">
        <v>1.8296E-2</v>
      </c>
      <c r="E40">
        <v>23.25</v>
      </c>
      <c r="F40">
        <v>1</v>
      </c>
      <c r="G40">
        <v>8.1308096647262504E-2</v>
      </c>
      <c r="H40">
        <v>525.92829180160197</v>
      </c>
      <c r="I40">
        <v>88.034645086547101</v>
      </c>
      <c r="K40">
        <v>9.0294688940048218E-2</v>
      </c>
      <c r="L40" s="2">
        <f t="shared" si="0"/>
        <v>11.052518338698901</v>
      </c>
      <c r="N40">
        <v>88.350555419921875</v>
      </c>
      <c r="O40">
        <v>511.11328125</v>
      </c>
      <c r="P40" s="2">
        <f t="shared" si="1"/>
        <v>0.35884773893755278</v>
      </c>
      <c r="Q40" s="2">
        <f t="shared" si="2"/>
        <v>-2.8169259540786786</v>
      </c>
    </row>
    <row r="41" spans="1:17" x14ac:dyDescent="0.45">
      <c r="A41" t="s">
        <v>53</v>
      </c>
      <c r="B41">
        <v>43.5</v>
      </c>
      <c r="C41">
        <v>107.6</v>
      </c>
      <c r="D41">
        <v>7.417E-3</v>
      </c>
      <c r="E41">
        <v>22.75</v>
      </c>
      <c r="F41">
        <v>1</v>
      </c>
      <c r="G41">
        <v>4.8917576670646598E-2</v>
      </c>
      <c r="H41">
        <v>513.70151908115702</v>
      </c>
      <c r="I41">
        <v>33.425505488488703</v>
      </c>
      <c r="K41">
        <v>5.4040059447288513E-2</v>
      </c>
      <c r="L41" s="2">
        <f t="shared" si="0"/>
        <v>10.471660955592069</v>
      </c>
      <c r="N41">
        <v>32.371196746826172</v>
      </c>
      <c r="O41">
        <v>512.9014892578125</v>
      </c>
      <c r="P41" s="2">
        <f t="shared" si="1"/>
        <v>-3.1542043306588767</v>
      </c>
      <c r="Q41" s="2">
        <f t="shared" si="2"/>
        <v>-0.15573826310179237</v>
      </c>
    </row>
    <row r="42" spans="1:17" x14ac:dyDescent="0.45">
      <c r="A42" t="s">
        <v>54</v>
      </c>
      <c r="B42">
        <v>55.6</v>
      </c>
      <c r="C42">
        <v>100</v>
      </c>
      <c r="D42">
        <v>1.4763E-2</v>
      </c>
      <c r="E42">
        <v>30.85</v>
      </c>
      <c r="F42">
        <v>1</v>
      </c>
      <c r="G42">
        <v>0.14542791247367801</v>
      </c>
      <c r="H42">
        <v>561.088987413528</v>
      </c>
      <c r="I42">
        <v>52.299772207636202</v>
      </c>
      <c r="K42">
        <v>0.1331671625375748</v>
      </c>
      <c r="L42" s="2">
        <f t="shared" si="0"/>
        <v>-8.4308092769483753</v>
      </c>
      <c r="N42">
        <v>53.622085571289063</v>
      </c>
      <c r="O42">
        <v>561.784423828125</v>
      </c>
      <c r="P42" s="2">
        <f t="shared" si="1"/>
        <v>2.5283348432247879</v>
      </c>
      <c r="Q42" s="2">
        <f t="shared" si="2"/>
        <v>0.12394404990958309</v>
      </c>
    </row>
    <row r="43" spans="1:17" x14ac:dyDescent="0.45">
      <c r="A43" t="s">
        <v>55</v>
      </c>
      <c r="B43">
        <v>84.8</v>
      </c>
      <c r="C43">
        <v>126.3</v>
      </c>
      <c r="D43">
        <v>2.5269E-2</v>
      </c>
      <c r="E43">
        <v>35</v>
      </c>
      <c r="F43">
        <v>1</v>
      </c>
      <c r="G43">
        <v>0.107784576714038</v>
      </c>
      <c r="H43">
        <v>594.10261643193303</v>
      </c>
      <c r="I43">
        <v>82.377082962583103</v>
      </c>
      <c r="K43">
        <v>0.1226257234811783</v>
      </c>
      <c r="L43" s="2">
        <f t="shared" si="0"/>
        <v>13.769267570178586</v>
      </c>
      <c r="N43">
        <v>85.255821228027344</v>
      </c>
      <c r="O43">
        <v>589.59320068359375</v>
      </c>
      <c r="P43" s="2">
        <f t="shared" si="1"/>
        <v>3.4945863120108376</v>
      </c>
      <c r="Q43" s="2">
        <f t="shared" si="2"/>
        <v>-0.75902977425380991</v>
      </c>
    </row>
    <row r="44" spans="1:17" x14ac:dyDescent="0.45">
      <c r="A44" t="s">
        <v>56</v>
      </c>
      <c r="B44">
        <v>54.8</v>
      </c>
      <c r="C44">
        <v>107.4</v>
      </c>
      <c r="D44">
        <v>1.0071999999999999E-2</v>
      </c>
      <c r="E44">
        <v>20.32</v>
      </c>
      <c r="F44">
        <v>1</v>
      </c>
      <c r="G44">
        <v>6.78400248289108E-2</v>
      </c>
      <c r="H44">
        <v>499.07997454648199</v>
      </c>
      <c r="I44">
        <v>50.523220821675402</v>
      </c>
      <c r="K44">
        <v>6.6882029175758362E-2</v>
      </c>
      <c r="L44" s="2">
        <f t="shared" si="0"/>
        <v>-1.4121393020837711</v>
      </c>
      <c r="N44">
        <v>50.538669586181641</v>
      </c>
      <c r="O44">
        <v>494.16665649414063</v>
      </c>
      <c r="P44" s="2">
        <f t="shared" si="1"/>
        <v>3.0577552766808326E-2</v>
      </c>
      <c r="Q44" s="2">
        <f t="shared" si="2"/>
        <v>-0.9844750947593397</v>
      </c>
    </row>
    <row r="45" spans="1:17" x14ac:dyDescent="0.45">
      <c r="A45" t="s">
        <v>57</v>
      </c>
      <c r="B45">
        <v>40.299999999999997</v>
      </c>
      <c r="C45">
        <v>114.3</v>
      </c>
      <c r="D45">
        <v>5.607E-3</v>
      </c>
      <c r="E45">
        <v>20</v>
      </c>
      <c r="F45">
        <v>1</v>
      </c>
      <c r="G45">
        <v>3.0831903219223002E-2</v>
      </c>
      <c r="H45">
        <v>498.93315821430298</v>
      </c>
      <c r="I45">
        <v>28.710924333996399</v>
      </c>
      <c r="K45">
        <v>3.1626321375370033E-2</v>
      </c>
      <c r="L45" s="2">
        <f t="shared" si="0"/>
        <v>2.5766108258011426</v>
      </c>
      <c r="N45">
        <v>25.83445930480957</v>
      </c>
      <c r="O45">
        <v>495.08258056640619</v>
      </c>
      <c r="P45" s="2">
        <f t="shared" si="1"/>
        <v>-10.01871272315962</v>
      </c>
      <c r="Q45" s="2">
        <f t="shared" si="2"/>
        <v>-0.77176222596191435</v>
      </c>
    </row>
    <row r="46" spans="1:17" x14ac:dyDescent="0.45">
      <c r="A46" t="s">
        <v>58</v>
      </c>
      <c r="B46">
        <v>70</v>
      </c>
      <c r="C46">
        <v>107.4</v>
      </c>
      <c r="D46">
        <v>1.8821999999999998E-2</v>
      </c>
      <c r="E46">
        <v>28.32</v>
      </c>
      <c r="F46">
        <v>1</v>
      </c>
      <c r="G46">
        <v>0.121971875429153</v>
      </c>
      <c r="H46">
        <v>547.07997454648296</v>
      </c>
      <c r="I46">
        <v>70.468984813172696</v>
      </c>
      <c r="K46">
        <v>0.1239532977342606</v>
      </c>
      <c r="L46" s="2">
        <f t="shared" si="0"/>
        <v>1.6244911362853527</v>
      </c>
      <c r="N46">
        <v>69.999191284179688</v>
      </c>
      <c r="O46">
        <v>542.32025146484375</v>
      </c>
      <c r="P46" s="2">
        <f t="shared" si="1"/>
        <v>-0.66666708799413643</v>
      </c>
      <c r="Q46" s="2">
        <f t="shared" si="2"/>
        <v>-0.87002326955668818</v>
      </c>
    </row>
    <row r="47" spans="1:17" x14ac:dyDescent="0.45">
      <c r="A47" t="s">
        <v>59</v>
      </c>
      <c r="B47">
        <v>58.5</v>
      </c>
      <c r="C47">
        <v>125.6</v>
      </c>
      <c r="D47">
        <v>1.5125E-2</v>
      </c>
      <c r="E47">
        <v>35</v>
      </c>
      <c r="F47">
        <v>1</v>
      </c>
      <c r="G47">
        <v>6.4824834465980502E-2</v>
      </c>
      <c r="H47">
        <v>593.70858487042199</v>
      </c>
      <c r="I47">
        <v>49.505152588906498</v>
      </c>
      <c r="K47">
        <v>7.6551146805286407E-2</v>
      </c>
      <c r="L47" s="2">
        <f t="shared" si="0"/>
        <v>18.089228358091329</v>
      </c>
      <c r="N47">
        <v>53.451839447021477</v>
      </c>
      <c r="O47">
        <v>586.1817626953125</v>
      </c>
      <c r="P47" s="2">
        <f t="shared" si="1"/>
        <v>7.9722749082069972</v>
      </c>
      <c r="Q47" s="2">
        <f t="shared" si="2"/>
        <v>-1.2677637425020947</v>
      </c>
    </row>
    <row r="48" spans="1:17" x14ac:dyDescent="0.45">
      <c r="A48" t="s">
        <v>60</v>
      </c>
      <c r="B48">
        <v>54.8</v>
      </c>
      <c r="C48">
        <v>111</v>
      </c>
      <c r="D48">
        <v>1.1158E-2</v>
      </c>
      <c r="E48">
        <v>23.7</v>
      </c>
      <c r="F48">
        <v>1</v>
      </c>
      <c r="G48">
        <v>6.5206684172153404E-2</v>
      </c>
      <c r="H48">
        <v>520.19484915657301</v>
      </c>
      <c r="I48">
        <v>48.771134131962398</v>
      </c>
      <c r="K48">
        <v>6.6245414316654205E-2</v>
      </c>
      <c r="L48" s="2">
        <f t="shared" si="0"/>
        <v>1.5929810842066905</v>
      </c>
      <c r="N48">
        <v>47.646274566650391</v>
      </c>
      <c r="O48">
        <v>520.1676025390625</v>
      </c>
      <c r="P48" s="2">
        <f t="shared" si="1"/>
        <v>-2.3064043626060062</v>
      </c>
      <c r="Q48" s="2">
        <f t="shared" si="2"/>
        <v>-5.2377714917190158E-3</v>
      </c>
    </row>
    <row r="49" spans="1:17" x14ac:dyDescent="0.45">
      <c r="A49" t="s">
        <v>61</v>
      </c>
      <c r="B49">
        <v>78.099999999999994</v>
      </c>
      <c r="C49">
        <v>112.9</v>
      </c>
      <c r="D49">
        <v>2.2495000000000001E-2</v>
      </c>
      <c r="E49">
        <v>30.36</v>
      </c>
      <c r="F49">
        <v>1</v>
      </c>
      <c r="G49">
        <v>0.120455898344516</v>
      </c>
      <c r="H49">
        <v>560.673710097396</v>
      </c>
      <c r="I49">
        <v>79.6687360486183</v>
      </c>
      <c r="K49">
        <v>0.1244117617607117</v>
      </c>
      <c r="L49" s="2">
        <f t="shared" si="0"/>
        <v>3.2840761395357534</v>
      </c>
      <c r="N49">
        <v>78.483779907226563</v>
      </c>
      <c r="O49">
        <v>560.49285888671875</v>
      </c>
      <c r="P49" s="2">
        <f t="shared" si="1"/>
        <v>-1.4873540113258616</v>
      </c>
      <c r="Q49" s="2">
        <f t="shared" si="2"/>
        <v>-3.2256053283795091E-2</v>
      </c>
    </row>
    <row r="50" spans="1:17" x14ac:dyDescent="0.45">
      <c r="A50" t="s">
        <v>62</v>
      </c>
      <c r="B50">
        <v>42.5</v>
      </c>
      <c r="C50">
        <v>118.5</v>
      </c>
      <c r="D50">
        <v>9.4280000000000006E-3</v>
      </c>
      <c r="E50">
        <v>35</v>
      </c>
      <c r="F50">
        <v>1</v>
      </c>
      <c r="G50">
        <v>4.3938253074884401E-2</v>
      </c>
      <c r="H50">
        <v>590.39778390802599</v>
      </c>
      <c r="I50">
        <v>29.791828629429801</v>
      </c>
      <c r="K50">
        <v>5.4173275828361511E-2</v>
      </c>
      <c r="L50" s="2">
        <f t="shared" si="0"/>
        <v>23.294104879484991</v>
      </c>
      <c r="N50">
        <v>30.437986373901371</v>
      </c>
      <c r="O50">
        <v>586.35174560546875</v>
      </c>
      <c r="P50" s="2">
        <f t="shared" si="1"/>
        <v>2.16890930902195</v>
      </c>
      <c r="Q50" s="2">
        <f t="shared" si="2"/>
        <v>-0.68530716287165805</v>
      </c>
    </row>
    <row r="51" spans="1:17" x14ac:dyDescent="0.45">
      <c r="A51" t="s">
        <v>63</v>
      </c>
      <c r="B51">
        <v>84.9</v>
      </c>
      <c r="C51">
        <v>119.3</v>
      </c>
      <c r="D51">
        <v>2.2412000000000001E-2</v>
      </c>
      <c r="E51">
        <v>27.87</v>
      </c>
      <c r="F51">
        <v>1</v>
      </c>
      <c r="G51">
        <v>0.106587044894695</v>
      </c>
      <c r="H51">
        <v>547.93475364724804</v>
      </c>
      <c r="I51">
        <v>87.643348385666798</v>
      </c>
      <c r="K51">
        <v>0.1048774868249893</v>
      </c>
      <c r="L51" s="2">
        <f t="shared" si="0"/>
        <v>-1.6039079340220894</v>
      </c>
      <c r="N51">
        <v>90.457687377929688</v>
      </c>
      <c r="O51">
        <v>545.25946044921875</v>
      </c>
      <c r="P51" s="2">
        <f t="shared" si="1"/>
        <v>3.2111267359145614</v>
      </c>
      <c r="Q51" s="2">
        <f t="shared" si="2"/>
        <v>-0.48825032181689404</v>
      </c>
    </row>
    <row r="52" spans="1:17" x14ac:dyDescent="0.45">
      <c r="A52" t="s">
        <v>64</v>
      </c>
      <c r="B52">
        <v>70</v>
      </c>
      <c r="C52">
        <v>130</v>
      </c>
      <c r="D52">
        <v>1.5715E-2</v>
      </c>
      <c r="E52">
        <v>28.16</v>
      </c>
      <c r="F52">
        <v>1</v>
      </c>
      <c r="G52">
        <v>6.7894779145717593E-2</v>
      </c>
      <c r="H52">
        <v>555.38829180160405</v>
      </c>
      <c r="I52">
        <v>63.463271371072103</v>
      </c>
      <c r="K52">
        <v>7.8964978456497192E-2</v>
      </c>
      <c r="L52" s="2">
        <f t="shared" si="0"/>
        <v>16.304934562082369</v>
      </c>
      <c r="N52">
        <v>64.131202697753906</v>
      </c>
      <c r="O52">
        <v>544.97674560546875</v>
      </c>
      <c r="P52" s="2">
        <f t="shared" si="1"/>
        <v>1.0524691089061315</v>
      </c>
      <c r="Q52" s="2">
        <f t="shared" si="2"/>
        <v>-1.874642722906827</v>
      </c>
    </row>
    <row r="53" spans="1:17" x14ac:dyDescent="0.45">
      <c r="A53" t="s">
        <v>65</v>
      </c>
      <c r="B53">
        <v>74.400000000000006</v>
      </c>
      <c r="C53">
        <v>130</v>
      </c>
      <c r="D53">
        <v>1.8439000000000001E-2</v>
      </c>
      <c r="E53">
        <v>30.98</v>
      </c>
      <c r="F53">
        <v>1.1499999999999999</v>
      </c>
      <c r="G53">
        <v>7.8664779663085896E-2</v>
      </c>
      <c r="H53">
        <v>602.54002492240102</v>
      </c>
      <c r="I53">
        <v>70.630642724973896</v>
      </c>
      <c r="K53">
        <v>8.907579630613327E-2</v>
      </c>
      <c r="L53" s="2">
        <f t="shared" si="0"/>
        <v>13.234660654535373</v>
      </c>
      <c r="N53">
        <v>71.687339782714844</v>
      </c>
      <c r="O53">
        <v>586.4342041015625</v>
      </c>
      <c r="P53" s="2">
        <f t="shared" si="1"/>
        <v>1.4960886903657131</v>
      </c>
      <c r="Q53" s="2">
        <f t="shared" si="2"/>
        <v>-2.6729877111338332</v>
      </c>
    </row>
    <row r="54" spans="1:17" x14ac:dyDescent="0.45">
      <c r="A54" t="s">
        <v>66</v>
      </c>
      <c r="B54">
        <v>76.599999999999994</v>
      </c>
      <c r="C54">
        <v>117.3</v>
      </c>
      <c r="D54">
        <v>2.0754999999999999E-2</v>
      </c>
      <c r="E54">
        <v>29.44</v>
      </c>
      <c r="F54">
        <v>1</v>
      </c>
      <c r="G54">
        <v>0.101181365549564</v>
      </c>
      <c r="H54">
        <v>556.58601050663503</v>
      </c>
      <c r="I54">
        <v>76.612974285522995</v>
      </c>
      <c r="K54">
        <v>0.1037917286157608</v>
      </c>
      <c r="L54" s="2">
        <f t="shared" si="0"/>
        <v>2.5798851913281484</v>
      </c>
      <c r="N54">
        <v>76.041694641113281</v>
      </c>
      <c r="O54">
        <v>556.47088623046875</v>
      </c>
      <c r="P54" s="2">
        <f t="shared" si="1"/>
        <v>-0.74566958108251424</v>
      </c>
      <c r="Q54" s="2">
        <f t="shared" si="2"/>
        <v>-2.0684004626974343E-2</v>
      </c>
    </row>
    <row r="55" spans="1:17" x14ac:dyDescent="0.45">
      <c r="A55" t="s">
        <v>67</v>
      </c>
      <c r="B55">
        <v>47.2</v>
      </c>
      <c r="C55">
        <v>117.2</v>
      </c>
      <c r="D55">
        <v>1.1509999999999999E-2</v>
      </c>
      <c r="E55">
        <v>35</v>
      </c>
      <c r="F55">
        <v>1</v>
      </c>
      <c r="G55">
        <v>5.4903119802474899E-2</v>
      </c>
      <c r="H55">
        <v>589.90961013106096</v>
      </c>
      <c r="I55">
        <v>36.398448719426398</v>
      </c>
      <c r="K55">
        <v>6.502126157283783E-2</v>
      </c>
      <c r="L55" s="2">
        <f t="shared" si="0"/>
        <v>18.42908345967405</v>
      </c>
      <c r="N55">
        <v>37.427295684814453</v>
      </c>
      <c r="O55">
        <v>587.36614990234375</v>
      </c>
      <c r="P55" s="2">
        <f t="shared" si="1"/>
        <v>2.8266231160531419</v>
      </c>
      <c r="Q55" s="2">
        <f t="shared" si="2"/>
        <v>-0.43116100925226913</v>
      </c>
    </row>
    <row r="56" spans="1:17" x14ac:dyDescent="0.45">
      <c r="A56" t="s">
        <v>68</v>
      </c>
      <c r="B56">
        <v>61.4</v>
      </c>
      <c r="C56">
        <v>105.2</v>
      </c>
      <c r="D56">
        <v>1.5779000000000001E-2</v>
      </c>
      <c r="E56">
        <v>28.42</v>
      </c>
      <c r="F56">
        <v>1</v>
      </c>
      <c r="G56">
        <v>0.112723872065544</v>
      </c>
      <c r="H56">
        <v>547.258691222626</v>
      </c>
      <c r="I56">
        <v>58.5934601613532</v>
      </c>
      <c r="K56">
        <v>0.1091339737176895</v>
      </c>
      <c r="L56" s="2">
        <f t="shared" si="0"/>
        <v>-3.1846833169172313</v>
      </c>
      <c r="N56">
        <v>58.282798767089837</v>
      </c>
      <c r="O56">
        <v>543.73272705078125</v>
      </c>
      <c r="P56" s="2">
        <f t="shared" si="1"/>
        <v>-0.53019806887640941</v>
      </c>
      <c r="Q56" s="2">
        <f t="shared" si="2"/>
        <v>-0.64429569203687231</v>
      </c>
    </row>
    <row r="57" spans="1:17" x14ac:dyDescent="0.45">
      <c r="A57" t="s">
        <v>69</v>
      </c>
      <c r="B57">
        <v>82.5</v>
      </c>
      <c r="C57">
        <v>116.8</v>
      </c>
      <c r="D57">
        <v>2.6539E-2</v>
      </c>
      <c r="E57">
        <v>35</v>
      </c>
      <c r="F57">
        <v>1</v>
      </c>
      <c r="G57">
        <v>0.127489194273948</v>
      </c>
      <c r="H57">
        <v>589.76588568613795</v>
      </c>
      <c r="I57">
        <v>83.976803158750101</v>
      </c>
      <c r="K57">
        <v>0.13667027652263641</v>
      </c>
      <c r="L57" s="2">
        <f t="shared" si="0"/>
        <v>7.2014591518714575</v>
      </c>
      <c r="N57">
        <v>84.424095153808594</v>
      </c>
      <c r="O57">
        <v>588.2001953125</v>
      </c>
      <c r="P57" s="2">
        <f t="shared" si="1"/>
        <v>0.53263755969958715</v>
      </c>
      <c r="Q57" s="2">
        <f t="shared" si="2"/>
        <v>-0.26547659192196466</v>
      </c>
    </row>
    <row r="58" spans="1:17" x14ac:dyDescent="0.45">
      <c r="A58" t="s">
        <v>70</v>
      </c>
      <c r="B58">
        <v>64</v>
      </c>
      <c r="C58">
        <v>106.3</v>
      </c>
      <c r="D58">
        <v>1.9858000000000001E-2</v>
      </c>
      <c r="E58">
        <v>35</v>
      </c>
      <c r="F58">
        <v>1</v>
      </c>
      <c r="G58">
        <v>0.13191324472427299</v>
      </c>
      <c r="H58">
        <v>586.94123671078296</v>
      </c>
      <c r="I58">
        <v>61.522974407108499</v>
      </c>
      <c r="K58">
        <v>0.13445110619068151</v>
      </c>
      <c r="L58" s="2">
        <f t="shared" si="0"/>
        <v>1.9238867724868727</v>
      </c>
      <c r="N58">
        <v>63.112499237060547</v>
      </c>
      <c r="O58">
        <v>588.64849853515625</v>
      </c>
      <c r="P58" s="2">
        <f t="shared" si="1"/>
        <v>2.5836280597129098</v>
      </c>
      <c r="Q58" s="2">
        <f t="shared" si="2"/>
        <v>0.29087440404439474</v>
      </c>
    </row>
    <row r="59" spans="1:17" x14ac:dyDescent="0.45">
      <c r="A59" t="s">
        <v>71</v>
      </c>
      <c r="B59">
        <v>67.900000000000006</v>
      </c>
      <c r="C59">
        <v>106.7</v>
      </c>
      <c r="D59">
        <v>1.8617000000000002E-2</v>
      </c>
      <c r="E59">
        <v>29.34</v>
      </c>
      <c r="F59">
        <v>1</v>
      </c>
      <c r="G59">
        <v>0.12378091365098901</v>
      </c>
      <c r="H59">
        <v>553.05888155265495</v>
      </c>
      <c r="I59">
        <v>67.167717151993699</v>
      </c>
      <c r="K59">
        <v>0.1256549954414368</v>
      </c>
      <c r="L59" s="2">
        <f t="shared" si="0"/>
        <v>1.5140313115897059</v>
      </c>
      <c r="N59">
        <v>67.649177551269531</v>
      </c>
      <c r="O59">
        <v>547.2686767578125</v>
      </c>
      <c r="P59" s="2">
        <f t="shared" si="1"/>
        <v>0.71680327944797695</v>
      </c>
      <c r="Q59" s="2">
        <f t="shared" si="2"/>
        <v>-1.0469418334964729</v>
      </c>
    </row>
    <row r="60" spans="1:17" x14ac:dyDescent="0.45">
      <c r="A60" t="s">
        <v>72</v>
      </c>
      <c r="B60">
        <v>60</v>
      </c>
      <c r="C60">
        <v>106.7</v>
      </c>
      <c r="D60">
        <v>1.3403E-2</v>
      </c>
      <c r="E60">
        <v>24.42</v>
      </c>
      <c r="F60">
        <v>1</v>
      </c>
      <c r="G60">
        <v>9.0901285409927299E-2</v>
      </c>
      <c r="H60">
        <v>523.53888155265497</v>
      </c>
      <c r="I60">
        <v>56.581498364677898</v>
      </c>
      <c r="K60">
        <v>8.889838308095932E-2</v>
      </c>
      <c r="L60" s="2">
        <f t="shared" si="0"/>
        <v>-2.2033817453028472</v>
      </c>
      <c r="N60">
        <v>56.562938690185547</v>
      </c>
      <c r="O60">
        <v>520.45330810546875</v>
      </c>
      <c r="P60" s="2">
        <f t="shared" si="1"/>
        <v>-3.2801666673319768E-2</v>
      </c>
      <c r="Q60" s="2">
        <f t="shared" si="2"/>
        <v>-0.58936853706745918</v>
      </c>
    </row>
    <row r="61" spans="1:17" x14ac:dyDescent="0.45">
      <c r="A61" t="s">
        <v>73</v>
      </c>
      <c r="B61">
        <v>43.4</v>
      </c>
      <c r="C61">
        <v>125.3</v>
      </c>
      <c r="D61">
        <v>9.2250000000000006E-3</v>
      </c>
      <c r="E61">
        <v>35</v>
      </c>
      <c r="F61">
        <v>1.33</v>
      </c>
      <c r="G61">
        <v>3.9678845554590197E-2</v>
      </c>
      <c r="H61">
        <v>667.69596182284101</v>
      </c>
      <c r="I61">
        <v>32.351084845665703</v>
      </c>
      <c r="K61">
        <v>3.1094163656234741E-2</v>
      </c>
      <c r="L61" s="2">
        <f t="shared" si="0"/>
        <v>-21.635412468199565</v>
      </c>
      <c r="N61">
        <v>31.414480209350589</v>
      </c>
      <c r="O61">
        <v>660.58837890625</v>
      </c>
      <c r="P61" s="2">
        <f t="shared" si="1"/>
        <v>-2.8951259000533849</v>
      </c>
      <c r="Q61" s="2">
        <f t="shared" si="2"/>
        <v>-1.0644939198354564</v>
      </c>
    </row>
    <row r="62" spans="1:17" x14ac:dyDescent="0.45">
      <c r="A62" t="s">
        <v>74</v>
      </c>
      <c r="B62">
        <v>52.1</v>
      </c>
      <c r="C62">
        <v>109.7</v>
      </c>
      <c r="D62">
        <v>1.0075000000000001E-2</v>
      </c>
      <c r="E62">
        <v>22.87</v>
      </c>
      <c r="F62">
        <v>1</v>
      </c>
      <c r="G62">
        <v>6.1619371175765901E-2</v>
      </c>
      <c r="H62">
        <v>514.89168175847101</v>
      </c>
      <c r="I62">
        <v>45.057859881149803</v>
      </c>
      <c r="K62">
        <v>6.1586685478687293E-2</v>
      </c>
      <c r="L62" s="2">
        <f t="shared" si="0"/>
        <v>-5.3044515799055329E-2</v>
      </c>
      <c r="N62">
        <v>43.116851806640618</v>
      </c>
      <c r="O62">
        <v>515.06854248046875</v>
      </c>
      <c r="P62" s="2">
        <f t="shared" si="1"/>
        <v>-4.3078123986115369</v>
      </c>
      <c r="Q62" s="2">
        <f t="shared" si="2"/>
        <v>3.4349112301391621E-2</v>
      </c>
    </row>
    <row r="63" spans="1:17" x14ac:dyDescent="0.45">
      <c r="A63" t="s">
        <v>75</v>
      </c>
      <c r="B63">
        <v>82.1</v>
      </c>
      <c r="C63">
        <v>117.3</v>
      </c>
      <c r="D63">
        <v>2.2633E-2</v>
      </c>
      <c r="E63">
        <v>29.23</v>
      </c>
      <c r="F63">
        <v>1</v>
      </c>
      <c r="G63">
        <v>0.110491558909416</v>
      </c>
      <c r="H63">
        <v>555.32601050663402</v>
      </c>
      <c r="I63">
        <v>83.448751401127097</v>
      </c>
      <c r="K63">
        <v>0.11124566197395321</v>
      </c>
      <c r="L63" s="2">
        <f t="shared" si="0"/>
        <v>0.68249834827240996</v>
      </c>
      <c r="N63">
        <v>85.287033081054688</v>
      </c>
      <c r="O63">
        <v>554.1522216796875</v>
      </c>
      <c r="P63" s="2">
        <f t="shared" si="1"/>
        <v>2.2028869804069489</v>
      </c>
      <c r="Q63" s="2">
        <f t="shared" si="2"/>
        <v>-0.21136932265709132</v>
      </c>
    </row>
    <row r="64" spans="1:17" x14ac:dyDescent="0.45">
      <c r="A64" t="s">
        <v>76</v>
      </c>
      <c r="B64">
        <v>85.8</v>
      </c>
      <c r="C64">
        <v>118.2</v>
      </c>
      <c r="D64">
        <v>2.4978E-2</v>
      </c>
      <c r="E64">
        <v>30.97</v>
      </c>
      <c r="F64">
        <v>1</v>
      </c>
      <c r="G64">
        <v>0.11897749453783001</v>
      </c>
      <c r="H64">
        <v>566.10221555156102</v>
      </c>
      <c r="I64">
        <v>88.316078514871407</v>
      </c>
      <c r="K64">
        <v>0.1233038157224655</v>
      </c>
      <c r="L64" s="2">
        <f t="shared" si="0"/>
        <v>3.6362517141928055</v>
      </c>
      <c r="N64">
        <v>88.805168151855469</v>
      </c>
      <c r="O64">
        <v>563.006591796875</v>
      </c>
      <c r="P64" s="2">
        <f t="shared" si="1"/>
        <v>0.55379455837331448</v>
      </c>
      <c r="Q64" s="2">
        <f t="shared" si="2"/>
        <v>-0.54683123818371016</v>
      </c>
    </row>
    <row r="65" spans="1:17" x14ac:dyDescent="0.45">
      <c r="A65" t="s">
        <v>77</v>
      </c>
      <c r="B65">
        <v>63.5</v>
      </c>
      <c r="C65">
        <v>119</v>
      </c>
      <c r="D65">
        <v>1.1649E-2</v>
      </c>
      <c r="E65">
        <v>20</v>
      </c>
      <c r="F65">
        <v>1</v>
      </c>
      <c r="G65">
        <v>5.8647111058235099E-2</v>
      </c>
      <c r="H65">
        <v>500.59437582907799</v>
      </c>
      <c r="I65">
        <v>61.1276923741882</v>
      </c>
      <c r="K65">
        <v>6.1039034277200699E-2</v>
      </c>
      <c r="L65" s="2">
        <f t="shared" si="0"/>
        <v>4.0785013546370266</v>
      </c>
      <c r="N65">
        <v>62.227783203125</v>
      </c>
      <c r="O65">
        <v>496.84243774414063</v>
      </c>
      <c r="P65" s="2">
        <f t="shared" si="1"/>
        <v>1.7996603277654968</v>
      </c>
      <c r="Q65" s="2">
        <f t="shared" si="2"/>
        <v>-0.74949665160010093</v>
      </c>
    </row>
    <row r="66" spans="1:17" x14ac:dyDescent="0.45">
      <c r="A66" t="s">
        <v>78</v>
      </c>
      <c r="B66">
        <v>47.4</v>
      </c>
      <c r="C66">
        <v>109.3</v>
      </c>
      <c r="D66">
        <v>8.463E-3</v>
      </c>
      <c r="E66">
        <v>22.35</v>
      </c>
      <c r="F66">
        <v>1</v>
      </c>
      <c r="G66">
        <v>5.2614178508520099E-2</v>
      </c>
      <c r="H66">
        <v>511.67726543475698</v>
      </c>
      <c r="I66">
        <v>38.608897071784597</v>
      </c>
      <c r="K66">
        <v>5.4860778152942657E-2</v>
      </c>
      <c r="L66" s="2">
        <f t="shared" si="0"/>
        <v>4.2699510058087382</v>
      </c>
      <c r="N66">
        <v>35.801910400390618</v>
      </c>
      <c r="O66">
        <v>511.09857177734381</v>
      </c>
      <c r="P66" s="2">
        <f t="shared" si="1"/>
        <v>-7.2703104317510441</v>
      </c>
      <c r="Q66" s="2">
        <f t="shared" si="2"/>
        <v>-0.11309739488258677</v>
      </c>
    </row>
    <row r="67" spans="1:17" x14ac:dyDescent="0.45">
      <c r="A67" t="s">
        <v>79</v>
      </c>
      <c r="B67">
        <v>51.6</v>
      </c>
      <c r="C67">
        <v>104.4</v>
      </c>
      <c r="D67">
        <v>1.4375000000000001E-2</v>
      </c>
      <c r="E67">
        <v>35</v>
      </c>
      <c r="F67">
        <v>1</v>
      </c>
      <c r="G67">
        <v>0.104953825473785</v>
      </c>
      <c r="H67">
        <v>586.60132075666502</v>
      </c>
      <c r="I67">
        <v>44.692498403449299</v>
      </c>
      <c r="K67">
        <v>0.1098123118281364</v>
      </c>
      <c r="L67" s="2">
        <f t="shared" si="0"/>
        <v>4.6291655710681461</v>
      </c>
      <c r="N67">
        <v>43.320426940917969</v>
      </c>
      <c r="O67">
        <v>591.83349609375</v>
      </c>
      <c r="P67" s="2">
        <f t="shared" si="1"/>
        <v>-3.0700263165986628</v>
      </c>
      <c r="Q67" s="2">
        <f t="shared" si="2"/>
        <v>0.89194741845039283</v>
      </c>
    </row>
    <row r="68" spans="1:17" x14ac:dyDescent="0.45">
      <c r="A68" t="s">
        <v>80</v>
      </c>
      <c r="B68">
        <v>42</v>
      </c>
      <c r="C68">
        <v>109.4</v>
      </c>
      <c r="D68">
        <v>6.5839999999999996E-3</v>
      </c>
      <c r="E68">
        <v>21.47</v>
      </c>
      <c r="F68">
        <v>1</v>
      </c>
      <c r="G68">
        <v>4.1008740663528401E-2</v>
      </c>
      <c r="H68">
        <v>506.42065145266099</v>
      </c>
      <c r="I68">
        <v>31.270169070707102</v>
      </c>
      <c r="K68">
        <v>4.6577654778957367E-2</v>
      </c>
      <c r="L68" s="2">
        <f t="shared" si="0"/>
        <v>13.579822314274928</v>
      </c>
      <c r="N68">
        <v>29.594610214233398</v>
      </c>
      <c r="O68">
        <v>503.94158935546881</v>
      </c>
      <c r="P68" s="2">
        <f t="shared" si="1"/>
        <v>-5.3583300195307011</v>
      </c>
      <c r="Q68" s="2">
        <f t="shared" si="2"/>
        <v>-0.48952626439720154</v>
      </c>
    </row>
    <row r="69" spans="1:17" x14ac:dyDescent="0.45">
      <c r="A69" t="s">
        <v>81</v>
      </c>
      <c r="B69">
        <v>73.2</v>
      </c>
      <c r="C69">
        <v>114.2</v>
      </c>
      <c r="D69">
        <v>1.9550999999999999E-2</v>
      </c>
      <c r="E69">
        <v>28.77</v>
      </c>
      <c r="F69">
        <v>1</v>
      </c>
      <c r="G69">
        <v>0.102085828781127</v>
      </c>
      <c r="H69">
        <v>551.52211534675996</v>
      </c>
      <c r="I69">
        <v>72.619689822890805</v>
      </c>
      <c r="K69">
        <v>0.1043346971273422</v>
      </c>
      <c r="L69" s="2">
        <f t="shared" si="0"/>
        <v>2.2029192230361296</v>
      </c>
      <c r="N69">
        <v>71.4716796875</v>
      </c>
      <c r="O69">
        <v>552.51611328125</v>
      </c>
      <c r="P69" s="2">
        <f t="shared" si="1"/>
        <v>-1.580852435738352</v>
      </c>
      <c r="Q69" s="2">
        <f t="shared" si="2"/>
        <v>0.18022811902385463</v>
      </c>
    </row>
    <row r="70" spans="1:17" x14ac:dyDescent="0.45">
      <c r="A70" t="s">
        <v>82</v>
      </c>
      <c r="B70">
        <v>86.8</v>
      </c>
      <c r="C70">
        <v>107</v>
      </c>
      <c r="D70">
        <v>3.0058000000000001E-2</v>
      </c>
      <c r="E70">
        <v>35</v>
      </c>
      <c r="F70">
        <v>1</v>
      </c>
      <c r="G70">
        <v>0.19351035356521601</v>
      </c>
      <c r="H70">
        <v>587.07853261917899</v>
      </c>
      <c r="I70">
        <v>92.486902702430001</v>
      </c>
      <c r="K70">
        <v>0.20706924796104431</v>
      </c>
      <c r="L70" s="2">
        <f t="shared" si="0"/>
        <v>7.0068056545918838</v>
      </c>
      <c r="N70">
        <v>95.972869873046875</v>
      </c>
      <c r="O70">
        <v>592.613525390625</v>
      </c>
      <c r="P70" s="2">
        <f t="shared" si="1"/>
        <v>3.7691468399939003</v>
      </c>
      <c r="Q70" s="2">
        <f t="shared" si="2"/>
        <v>0.94280278768707848</v>
      </c>
    </row>
    <row r="71" spans="1:17" x14ac:dyDescent="0.45">
      <c r="A71" t="s">
        <v>83</v>
      </c>
      <c r="B71">
        <v>79.400000000000006</v>
      </c>
      <c r="C71">
        <v>112.1</v>
      </c>
      <c r="D71">
        <v>2.3213000000000001E-2</v>
      </c>
      <c r="E71">
        <v>30.53</v>
      </c>
      <c r="F71">
        <v>1</v>
      </c>
      <c r="G71">
        <v>0.126967042684555</v>
      </c>
      <c r="H71">
        <v>561.46833802656397</v>
      </c>
      <c r="I71">
        <v>81.123862292152893</v>
      </c>
      <c r="K71">
        <v>0.13242752850055689</v>
      </c>
      <c r="L71" s="2">
        <f t="shared" si="0"/>
        <v>4.3007111928788246</v>
      </c>
      <c r="N71">
        <v>81.230842590332031</v>
      </c>
      <c r="O71">
        <v>560.62774658203125</v>
      </c>
      <c r="P71" s="2">
        <f t="shared" si="1"/>
        <v>0.13187278706463479</v>
      </c>
      <c r="Q71" s="2">
        <f t="shared" si="2"/>
        <v>-0.14971306262561687</v>
      </c>
    </row>
    <row r="72" spans="1:17" x14ac:dyDescent="0.45">
      <c r="A72" t="s">
        <v>84</v>
      </c>
      <c r="B72">
        <v>84.5</v>
      </c>
      <c r="C72">
        <v>109</v>
      </c>
      <c r="D72">
        <v>2.4417000000000001E-2</v>
      </c>
      <c r="E72">
        <v>28.77</v>
      </c>
      <c r="F72">
        <v>1</v>
      </c>
      <c r="G72">
        <v>0.14851677417755099</v>
      </c>
      <c r="H72">
        <v>550.12797390835999</v>
      </c>
      <c r="I72">
        <v>90.013781273460495</v>
      </c>
      <c r="K72">
        <v>0.1538738161325455</v>
      </c>
      <c r="L72" s="2">
        <f t="shared" si="0"/>
        <v>3.6070282193108989</v>
      </c>
      <c r="N72">
        <v>90.782028198242188</v>
      </c>
      <c r="O72">
        <v>544.12493896484375</v>
      </c>
      <c r="P72" s="2">
        <f t="shared" si="1"/>
        <v>0.85347700531296433</v>
      </c>
      <c r="Q72" s="2">
        <f t="shared" si="2"/>
        <v>-1.0912069969588971</v>
      </c>
    </row>
    <row r="73" spans="1:17" x14ac:dyDescent="0.45">
      <c r="A73" t="s">
        <v>85</v>
      </c>
      <c r="B73">
        <v>69.3</v>
      </c>
      <c r="C73">
        <v>114</v>
      </c>
      <c r="D73">
        <v>1.7329000000000001E-2</v>
      </c>
      <c r="E73">
        <v>27.18</v>
      </c>
      <c r="F73">
        <v>1</v>
      </c>
      <c r="G73">
        <v>9.1627046465873704E-2</v>
      </c>
      <c r="H73">
        <v>541.92053541185805</v>
      </c>
      <c r="I73">
        <v>67.713540608232904</v>
      </c>
      <c r="K73">
        <v>9.2021547257900238E-2</v>
      </c>
      <c r="L73" s="2">
        <f t="shared" ref="L73:L136" si="3">(K73-G73)/G73*100</f>
        <v>0.43055059313023325</v>
      </c>
      <c r="N73">
        <v>67.245651245117188</v>
      </c>
      <c r="O73">
        <v>542.66986083984375</v>
      </c>
      <c r="P73" s="2">
        <f t="shared" ref="P73:P136" si="4">(N73-I73)/I73*100</f>
        <v>-0.6909834560605278</v>
      </c>
      <c r="Q73" s="2">
        <f t="shared" ref="Q73:Q136" si="5">(O73-H73)/H73*100</f>
        <v>0.13827219657144205</v>
      </c>
    </row>
    <row r="74" spans="1:17" x14ac:dyDescent="0.45">
      <c r="A74" t="s">
        <v>86</v>
      </c>
      <c r="B74">
        <v>75.400000000000006</v>
      </c>
      <c r="C74">
        <v>111.3</v>
      </c>
      <c r="D74">
        <v>2.0570000000000001E-2</v>
      </c>
      <c r="E74">
        <v>28.52</v>
      </c>
      <c r="F74">
        <v>1</v>
      </c>
      <c r="G74">
        <v>0.116182923316955</v>
      </c>
      <c r="H74">
        <v>549.19304009823702</v>
      </c>
      <c r="I74">
        <v>76.757084309651106</v>
      </c>
      <c r="K74">
        <v>0.11819916963577271</v>
      </c>
      <c r="L74" s="2">
        <f t="shared" si="3"/>
        <v>1.7354067717139887</v>
      </c>
      <c r="N74">
        <v>76.343902587890625</v>
      </c>
      <c r="O74">
        <v>546.6881103515625</v>
      </c>
      <c r="P74" s="2">
        <f t="shared" si="4"/>
        <v>-0.53829783332263559</v>
      </c>
      <c r="Q74" s="2">
        <f t="shared" si="5"/>
        <v>-0.45611097806819445</v>
      </c>
    </row>
    <row r="75" spans="1:17" x14ac:dyDescent="0.45">
      <c r="A75" t="s">
        <v>87</v>
      </c>
      <c r="B75">
        <v>52.3</v>
      </c>
      <c r="C75">
        <v>111.1</v>
      </c>
      <c r="D75">
        <v>1.4233000000000001E-2</v>
      </c>
      <c r="E75">
        <v>35</v>
      </c>
      <c r="F75">
        <v>1</v>
      </c>
      <c r="G75">
        <v>7.8799590468406594E-2</v>
      </c>
      <c r="H75">
        <v>588.02076010135704</v>
      </c>
      <c r="I75">
        <v>43.930379081677501</v>
      </c>
      <c r="K75">
        <v>8.624943345785141E-2</v>
      </c>
      <c r="L75" s="2">
        <f t="shared" si="3"/>
        <v>9.4541646030910638</v>
      </c>
      <c r="N75">
        <v>43.725852966308587</v>
      </c>
      <c r="O75">
        <v>589.85760498046875</v>
      </c>
      <c r="P75" s="2">
        <f t="shared" si="4"/>
        <v>-0.46556874683154692</v>
      </c>
      <c r="Q75" s="2">
        <f t="shared" si="5"/>
        <v>0.31237755598885525</v>
      </c>
    </row>
    <row r="76" spans="1:17" x14ac:dyDescent="0.45">
      <c r="A76" t="s">
        <v>88</v>
      </c>
      <c r="B76">
        <v>84.1</v>
      </c>
      <c r="C76">
        <v>112.3</v>
      </c>
      <c r="D76">
        <v>1.9082999999999999E-2</v>
      </c>
      <c r="E76">
        <v>21.73</v>
      </c>
      <c r="F76">
        <v>1</v>
      </c>
      <c r="G76">
        <v>0.108790017664432</v>
      </c>
      <c r="H76">
        <v>508.72372650698202</v>
      </c>
      <c r="I76">
        <v>91.187427670917202</v>
      </c>
      <c r="K76">
        <v>0.1105835363268852</v>
      </c>
      <c r="L76" s="2">
        <f t="shared" si="3"/>
        <v>1.6486059116061471</v>
      </c>
      <c r="N76">
        <v>91.350021362304688</v>
      </c>
      <c r="O76">
        <v>501.75942993164063</v>
      </c>
      <c r="P76" s="2">
        <f t="shared" si="4"/>
        <v>0.17830713678453938</v>
      </c>
      <c r="Q76" s="2">
        <f t="shared" si="5"/>
        <v>-1.3689742020015281</v>
      </c>
    </row>
    <row r="77" spans="1:17" x14ac:dyDescent="0.45">
      <c r="A77" t="s">
        <v>89</v>
      </c>
      <c r="B77">
        <v>52.5</v>
      </c>
      <c r="C77">
        <v>107.9</v>
      </c>
      <c r="D77">
        <v>1.171E-2</v>
      </c>
      <c r="E77">
        <v>26.91</v>
      </c>
      <c r="F77">
        <v>1.08</v>
      </c>
      <c r="G77">
        <v>7.4745714664459201E-2</v>
      </c>
      <c r="H77">
        <v>552.65050647029102</v>
      </c>
      <c r="I77">
        <v>47.004825399071798</v>
      </c>
      <c r="K77">
        <v>7.6416522264480591E-2</v>
      </c>
      <c r="L77" s="2">
        <f t="shared" si="3"/>
        <v>2.2353222623153828</v>
      </c>
      <c r="N77">
        <v>46.514320373535163</v>
      </c>
      <c r="O77">
        <v>550.34210205078125</v>
      </c>
      <c r="P77" s="2">
        <f t="shared" si="4"/>
        <v>-1.0435205776688636</v>
      </c>
      <c r="Q77" s="2">
        <f t="shared" si="5"/>
        <v>-0.41769696987219967</v>
      </c>
    </row>
    <row r="78" spans="1:17" x14ac:dyDescent="0.45">
      <c r="A78" t="s">
        <v>90</v>
      </c>
      <c r="B78">
        <v>65.5</v>
      </c>
      <c r="C78">
        <v>106.6</v>
      </c>
      <c r="D78">
        <v>1.7066000000000001E-2</v>
      </c>
      <c r="E78">
        <v>28.06</v>
      </c>
      <c r="F78">
        <v>1.03</v>
      </c>
      <c r="G78">
        <v>0.114382781088352</v>
      </c>
      <c r="H78">
        <v>550.78572490431702</v>
      </c>
      <c r="I78">
        <v>64.955587554642804</v>
      </c>
      <c r="K78">
        <v>0.11329649388790131</v>
      </c>
      <c r="L78" s="2">
        <f t="shared" si="3"/>
        <v>-0.94969469190613121</v>
      </c>
      <c r="N78">
        <v>64.405830383300781</v>
      </c>
      <c r="O78">
        <v>546.3802490234375</v>
      </c>
      <c r="P78" s="2">
        <f t="shared" si="4"/>
        <v>-0.84635855364952073</v>
      </c>
      <c r="Q78" s="2">
        <f t="shared" si="5"/>
        <v>-0.79985295218841135</v>
      </c>
    </row>
    <row r="79" spans="1:17" x14ac:dyDescent="0.45">
      <c r="A79" t="s">
        <v>91</v>
      </c>
      <c r="B79">
        <v>61.3</v>
      </c>
      <c r="C79">
        <v>105.9</v>
      </c>
      <c r="D79">
        <v>1.5973999999999999E-2</v>
      </c>
      <c r="E79">
        <v>29.03</v>
      </c>
      <c r="F79">
        <v>1</v>
      </c>
      <c r="G79">
        <v>0.110133722424507</v>
      </c>
      <c r="H79">
        <v>551.04573263684995</v>
      </c>
      <c r="I79">
        <v>57.971494272065101</v>
      </c>
      <c r="K79">
        <v>0.1068200916051865</v>
      </c>
      <c r="L79" s="2">
        <f t="shared" si="3"/>
        <v>-3.0087340610791413</v>
      </c>
      <c r="N79">
        <v>57.751682281494141</v>
      </c>
      <c r="O79">
        <v>548.6259765625</v>
      </c>
      <c r="P79" s="2">
        <f t="shared" si="4"/>
        <v>-0.37917254562969205</v>
      </c>
      <c r="Q79" s="2">
        <f t="shared" si="5"/>
        <v>-0.43912073554603048</v>
      </c>
    </row>
    <row r="80" spans="1:17" x14ac:dyDescent="0.45">
      <c r="A80" t="s">
        <v>92</v>
      </c>
      <c r="B80">
        <v>65.8</v>
      </c>
      <c r="C80">
        <v>117.5</v>
      </c>
      <c r="D80">
        <v>1.2983E-2</v>
      </c>
      <c r="E80">
        <v>21.27</v>
      </c>
      <c r="F80">
        <v>1</v>
      </c>
      <c r="G80">
        <v>6.63197487592697E-2</v>
      </c>
      <c r="H80">
        <v>507.63937947282801</v>
      </c>
      <c r="I80">
        <v>63.538159942326899</v>
      </c>
      <c r="K80">
        <v>6.7972667515277863E-2</v>
      </c>
      <c r="L80" s="2">
        <f t="shared" si="3"/>
        <v>2.4923477349228182</v>
      </c>
      <c r="N80">
        <v>63.697685241699219</v>
      </c>
      <c r="O80">
        <v>506.84756469726563</v>
      </c>
      <c r="P80" s="2">
        <f t="shared" si="4"/>
        <v>0.2510700648509796</v>
      </c>
      <c r="Q80" s="2">
        <f t="shared" si="5"/>
        <v>-0.1559797776887735</v>
      </c>
    </row>
    <row r="81" spans="1:17" x14ac:dyDescent="0.45">
      <c r="A81" t="s">
        <v>93</v>
      </c>
      <c r="B81">
        <v>56.8</v>
      </c>
      <c r="C81">
        <v>126.5</v>
      </c>
      <c r="D81">
        <v>1.1467E-2</v>
      </c>
      <c r="E81">
        <v>26.54</v>
      </c>
      <c r="F81">
        <v>1</v>
      </c>
      <c r="G81">
        <v>5.0831761211156803E-2</v>
      </c>
      <c r="H81">
        <v>543.45772188235503</v>
      </c>
      <c r="I81">
        <v>48.221536953772699</v>
      </c>
      <c r="K81">
        <v>5.9245225042104721E-2</v>
      </c>
      <c r="L81" s="2">
        <f t="shared" si="3"/>
        <v>16.551588279615402</v>
      </c>
      <c r="N81">
        <v>49.375358581542969</v>
      </c>
      <c r="O81">
        <v>532.62933349609375</v>
      </c>
      <c r="P81" s="2">
        <f t="shared" si="4"/>
        <v>2.3927516637978061</v>
      </c>
      <c r="Q81" s="2">
        <f t="shared" si="5"/>
        <v>-1.9924987630602395</v>
      </c>
    </row>
    <row r="82" spans="1:17" x14ac:dyDescent="0.45">
      <c r="A82" t="s">
        <v>94</v>
      </c>
      <c r="B82">
        <v>77</v>
      </c>
      <c r="C82">
        <v>128.5</v>
      </c>
      <c r="D82">
        <v>1.6202000000000001E-2</v>
      </c>
      <c r="E82">
        <v>24.18</v>
      </c>
      <c r="F82">
        <v>1</v>
      </c>
      <c r="G82">
        <v>7.1989476680755601E-2</v>
      </c>
      <c r="H82">
        <v>530.51366105511397</v>
      </c>
      <c r="I82">
        <v>74.355009244455104</v>
      </c>
      <c r="K82">
        <v>7.8664511442184448E-2</v>
      </c>
      <c r="L82" s="2">
        <f t="shared" si="3"/>
        <v>9.2722368173753278</v>
      </c>
      <c r="N82">
        <v>75.241836547851563</v>
      </c>
      <c r="O82">
        <v>521.3072509765625</v>
      </c>
      <c r="P82" s="2">
        <f t="shared" si="4"/>
        <v>1.1926934209380009</v>
      </c>
      <c r="Q82" s="2">
        <f t="shared" si="5"/>
        <v>-1.7353766272938702</v>
      </c>
    </row>
    <row r="83" spans="1:17" x14ac:dyDescent="0.45">
      <c r="A83" t="s">
        <v>95</v>
      </c>
      <c r="B83">
        <v>60.1</v>
      </c>
      <c r="C83">
        <v>113.1</v>
      </c>
      <c r="D83">
        <v>1.3649E-2</v>
      </c>
      <c r="E83">
        <v>25.94</v>
      </c>
      <c r="F83">
        <v>1</v>
      </c>
      <c r="G83">
        <v>7.4312493205070496E-2</v>
      </c>
      <c r="H83">
        <v>534.211657910545</v>
      </c>
      <c r="I83">
        <v>55.400703814775497</v>
      </c>
      <c r="K83">
        <v>7.9320371150970459E-2</v>
      </c>
      <c r="L83" s="2">
        <f t="shared" si="3"/>
        <v>6.7389448663502325</v>
      </c>
      <c r="N83">
        <v>56.332077026367188</v>
      </c>
      <c r="O83">
        <v>535.5548095703125</v>
      </c>
      <c r="P83" s="2">
        <f t="shared" si="4"/>
        <v>1.6811577244679177</v>
      </c>
      <c r="Q83" s="2">
        <f t="shared" si="5"/>
        <v>0.25142687170492523</v>
      </c>
    </row>
    <row r="84" spans="1:17" x14ac:dyDescent="0.45">
      <c r="A84" t="s">
        <v>96</v>
      </c>
      <c r="B84">
        <v>84.3</v>
      </c>
      <c r="C84">
        <v>129.5</v>
      </c>
      <c r="D84">
        <v>1.8863999999999999E-2</v>
      </c>
      <c r="E84">
        <v>25.57</v>
      </c>
      <c r="F84">
        <v>1</v>
      </c>
      <c r="G84">
        <v>8.2777887582778903E-2</v>
      </c>
      <c r="H84">
        <v>539.50844155083303</v>
      </c>
      <c r="I84">
        <v>83.338402253318705</v>
      </c>
      <c r="K84">
        <v>9.0494148433208466E-2</v>
      </c>
      <c r="L84" s="2">
        <f t="shared" si="3"/>
        <v>9.3216450380099491</v>
      </c>
      <c r="N84">
        <v>82.270278930664063</v>
      </c>
      <c r="O84">
        <v>527.44207763671875</v>
      </c>
      <c r="P84" s="2">
        <f t="shared" si="4"/>
        <v>-1.2816700269917973</v>
      </c>
      <c r="Q84" s="2">
        <f t="shared" si="5"/>
        <v>-2.2365477506578313</v>
      </c>
    </row>
    <row r="85" spans="1:17" x14ac:dyDescent="0.45">
      <c r="A85" t="s">
        <v>97</v>
      </c>
      <c r="B85">
        <v>67.099999999999994</v>
      </c>
      <c r="C85">
        <v>130</v>
      </c>
      <c r="D85">
        <v>1.4637000000000001E-2</v>
      </c>
      <c r="E85">
        <v>27.75</v>
      </c>
      <c r="F85">
        <v>1</v>
      </c>
      <c r="G85">
        <v>6.3359871506690896E-2</v>
      </c>
      <c r="H85">
        <v>552.928291801603</v>
      </c>
      <c r="I85">
        <v>59.755055385341102</v>
      </c>
      <c r="K85">
        <v>7.6285511255264282E-2</v>
      </c>
      <c r="L85" s="2">
        <f t="shared" si="3"/>
        <v>20.40035663141839</v>
      </c>
      <c r="N85">
        <v>62.17059326171875</v>
      </c>
      <c r="O85">
        <v>543.60601806640625</v>
      </c>
      <c r="P85" s="2">
        <f t="shared" si="4"/>
        <v>4.0423991925045044</v>
      </c>
      <c r="Q85" s="2">
        <f t="shared" si="5"/>
        <v>-1.6859824091876425</v>
      </c>
    </row>
    <row r="86" spans="1:17" x14ac:dyDescent="0.45">
      <c r="A86" t="s">
        <v>98</v>
      </c>
      <c r="B86">
        <v>40.299999999999997</v>
      </c>
      <c r="C86">
        <v>114.6</v>
      </c>
      <c r="D86">
        <v>5.6990000000000001E-3</v>
      </c>
      <c r="E86">
        <v>20.49</v>
      </c>
      <c r="F86">
        <v>1</v>
      </c>
      <c r="G86">
        <v>3.10181193053722E-2</v>
      </c>
      <c r="H86">
        <v>501.96730548560299</v>
      </c>
      <c r="I86">
        <v>28.6423689647144</v>
      </c>
      <c r="K86">
        <v>3.1619813293218613E-2</v>
      </c>
      <c r="L86" s="2">
        <f t="shared" si="3"/>
        <v>1.9398145384726853</v>
      </c>
      <c r="N86">
        <v>25.756490707397461</v>
      </c>
      <c r="O86">
        <v>498.05404663085938</v>
      </c>
      <c r="P86" s="2">
        <f t="shared" si="4"/>
        <v>-10.075557161044046</v>
      </c>
      <c r="Q86" s="2">
        <f t="shared" si="5"/>
        <v>-0.77958440957781738</v>
      </c>
    </row>
    <row r="87" spans="1:17" x14ac:dyDescent="0.45">
      <c r="A87" t="s">
        <v>99</v>
      </c>
      <c r="B87">
        <v>83.2</v>
      </c>
      <c r="C87">
        <v>102.5</v>
      </c>
      <c r="D87">
        <v>2.1236000000000001E-2</v>
      </c>
      <c r="E87">
        <v>24.05</v>
      </c>
      <c r="F87">
        <v>1</v>
      </c>
      <c r="G87">
        <v>0.17815142869949299</v>
      </c>
      <c r="H87">
        <v>520.60769190096198</v>
      </c>
      <c r="I87">
        <v>91.607569018817102</v>
      </c>
      <c r="K87">
        <v>0.16799271106719971</v>
      </c>
      <c r="L87" s="2">
        <f t="shared" si="3"/>
        <v>-5.7022936646941389</v>
      </c>
      <c r="N87">
        <v>92.567955017089844</v>
      </c>
      <c r="O87">
        <v>519.78289794921875</v>
      </c>
      <c r="P87" s="2">
        <f t="shared" si="4"/>
        <v>1.0483697019352938</v>
      </c>
      <c r="Q87" s="2">
        <f t="shared" si="5"/>
        <v>-0.15842907520854232</v>
      </c>
    </row>
    <row r="88" spans="1:17" x14ac:dyDescent="0.45">
      <c r="A88" t="s">
        <v>100</v>
      </c>
      <c r="B88">
        <v>57.1</v>
      </c>
      <c r="C88">
        <v>104</v>
      </c>
      <c r="D88">
        <v>1.3875999999999999E-2</v>
      </c>
      <c r="E88">
        <v>27.62</v>
      </c>
      <c r="F88">
        <v>1</v>
      </c>
      <c r="G88">
        <v>0.10571024566888799</v>
      </c>
      <c r="H88">
        <v>542.25572004223704</v>
      </c>
      <c r="I88">
        <v>53.172911148436</v>
      </c>
      <c r="K88">
        <v>0.1015220209956169</v>
      </c>
      <c r="L88" s="2">
        <f t="shared" si="3"/>
        <v>-3.9619855641899702</v>
      </c>
      <c r="N88">
        <v>52.237258911132813</v>
      </c>
      <c r="O88">
        <v>538.6883544921875</v>
      </c>
      <c r="P88" s="2">
        <f t="shared" si="4"/>
        <v>-1.7596407965914214</v>
      </c>
      <c r="Q88" s="2">
        <f t="shared" si="5"/>
        <v>-0.65787513495877503</v>
      </c>
    </row>
    <row r="89" spans="1:17" x14ac:dyDescent="0.45">
      <c r="A89" t="s">
        <v>101</v>
      </c>
      <c r="B89">
        <v>68.7</v>
      </c>
      <c r="C89">
        <v>130</v>
      </c>
      <c r="D89">
        <v>1.6768999999999999E-2</v>
      </c>
      <c r="E89">
        <v>31.6</v>
      </c>
      <c r="F89">
        <v>1.08</v>
      </c>
      <c r="G89">
        <v>7.1324214339256203E-2</v>
      </c>
      <c r="H89">
        <v>592.44948279936102</v>
      </c>
      <c r="I89">
        <v>61.587162241061797</v>
      </c>
      <c r="K89">
        <v>7.5332231819629669E-2</v>
      </c>
      <c r="L89" s="2">
        <f t="shared" si="3"/>
        <v>5.619434462059667</v>
      </c>
      <c r="N89">
        <v>63.855297088623047</v>
      </c>
      <c r="O89">
        <v>579.44207763671875</v>
      </c>
      <c r="P89" s="2">
        <f t="shared" si="4"/>
        <v>3.6828046057446424</v>
      </c>
      <c r="Q89" s="2">
        <f t="shared" si="5"/>
        <v>-2.1955298367687766</v>
      </c>
    </row>
    <row r="90" spans="1:17" x14ac:dyDescent="0.45">
      <c r="A90" t="s">
        <v>102</v>
      </c>
      <c r="B90">
        <v>41.3</v>
      </c>
      <c r="C90">
        <v>113.7</v>
      </c>
      <c r="D90">
        <v>9.2359999999999994E-3</v>
      </c>
      <c r="E90">
        <v>35</v>
      </c>
      <c r="F90">
        <v>1</v>
      </c>
      <c r="G90">
        <v>4.7559175640344599E-2</v>
      </c>
      <c r="H90">
        <v>588.74942131802004</v>
      </c>
      <c r="I90">
        <v>28.851159623817701</v>
      </c>
      <c r="K90">
        <v>5.8243479579687119E-2</v>
      </c>
      <c r="L90" s="2">
        <f t="shared" si="3"/>
        <v>22.465284133896954</v>
      </c>
      <c r="N90">
        <v>29.167947769165039</v>
      </c>
      <c r="O90">
        <v>589.6097412109375</v>
      </c>
      <c r="P90" s="2">
        <f t="shared" si="4"/>
        <v>1.0980083624986017</v>
      </c>
      <c r="Q90" s="2">
        <f t="shared" si="5"/>
        <v>0.14612666471781505</v>
      </c>
    </row>
    <row r="91" spans="1:17" x14ac:dyDescent="0.45">
      <c r="A91" t="s">
        <v>103</v>
      </c>
      <c r="B91">
        <v>61.1</v>
      </c>
      <c r="C91">
        <v>112.3</v>
      </c>
      <c r="D91">
        <v>1.4123E-2</v>
      </c>
      <c r="E91">
        <v>26.1</v>
      </c>
      <c r="F91">
        <v>1</v>
      </c>
      <c r="G91">
        <v>7.8474000096321106E-2</v>
      </c>
      <c r="H91">
        <v>534.94372650698199</v>
      </c>
      <c r="I91">
        <v>56.783731591791799</v>
      </c>
      <c r="K91">
        <v>8.1828296184539795E-2</v>
      </c>
      <c r="L91" s="2">
        <f t="shared" si="3"/>
        <v>4.274404368455202</v>
      </c>
      <c r="N91">
        <v>57.461498260498047</v>
      </c>
      <c r="O91">
        <v>536.32794189453125</v>
      </c>
      <c r="P91" s="2">
        <f t="shared" si="4"/>
        <v>1.193593041011451</v>
      </c>
      <c r="Q91" s="2">
        <f t="shared" si="5"/>
        <v>0.258759065479235</v>
      </c>
    </row>
    <row r="92" spans="1:17" x14ac:dyDescent="0.45">
      <c r="A92" t="s">
        <v>104</v>
      </c>
      <c r="B92">
        <v>51.5</v>
      </c>
      <c r="C92">
        <v>102.4</v>
      </c>
      <c r="D92">
        <v>1.4428E-2</v>
      </c>
      <c r="E92">
        <v>35</v>
      </c>
      <c r="F92">
        <v>1</v>
      </c>
      <c r="G92">
        <v>0.118628822267055</v>
      </c>
      <c r="H92">
        <v>586.29348585807099</v>
      </c>
      <c r="I92">
        <v>45.109493607671297</v>
      </c>
      <c r="K92">
        <v>0.1207078620791435</v>
      </c>
      <c r="L92" s="2">
        <f t="shared" si="3"/>
        <v>1.7525587562592526</v>
      </c>
      <c r="N92">
        <v>44.685234069824219</v>
      </c>
      <c r="O92">
        <v>594.634765625</v>
      </c>
      <c r="P92" s="2">
        <f t="shared" si="4"/>
        <v>-0.94051053096931414</v>
      </c>
      <c r="Q92" s="2">
        <f t="shared" si="5"/>
        <v>1.4227140447793154</v>
      </c>
    </row>
    <row r="93" spans="1:17" x14ac:dyDescent="0.45">
      <c r="A93" t="s">
        <v>105</v>
      </c>
      <c r="B93">
        <v>53.9</v>
      </c>
      <c r="C93">
        <v>116.9</v>
      </c>
      <c r="D93">
        <v>1.0337000000000001E-2</v>
      </c>
      <c r="E93">
        <v>23.26</v>
      </c>
      <c r="F93">
        <v>1</v>
      </c>
      <c r="G93">
        <v>5.2610434591770103E-2</v>
      </c>
      <c r="H93">
        <v>519.36153667950498</v>
      </c>
      <c r="I93">
        <v>46.902560967193203</v>
      </c>
      <c r="K93">
        <v>5.7545915246009827E-2</v>
      </c>
      <c r="L93" s="2">
        <f t="shared" si="3"/>
        <v>9.3811820649962581</v>
      </c>
      <c r="N93">
        <v>46.371162414550781</v>
      </c>
      <c r="O93">
        <v>515.50286865234375</v>
      </c>
      <c r="P93" s="2">
        <f t="shared" si="4"/>
        <v>-1.1329840880418398</v>
      </c>
      <c r="Q93" s="2">
        <f t="shared" si="5"/>
        <v>-0.74296376505493733</v>
      </c>
    </row>
    <row r="94" spans="1:17" x14ac:dyDescent="0.45">
      <c r="A94" t="s">
        <v>106</v>
      </c>
      <c r="B94">
        <v>86.8</v>
      </c>
      <c r="C94">
        <v>114.5</v>
      </c>
      <c r="D94">
        <v>2.8832E-2</v>
      </c>
      <c r="E94">
        <v>35</v>
      </c>
      <c r="F94">
        <v>1</v>
      </c>
      <c r="G94">
        <v>0.14547681808471599</v>
      </c>
      <c r="H94">
        <v>588.99575268932995</v>
      </c>
      <c r="I94">
        <v>90.568579809763605</v>
      </c>
      <c r="K94">
        <v>0.16015659272670749</v>
      </c>
      <c r="L94" s="2">
        <f t="shared" si="3"/>
        <v>10.090799919367891</v>
      </c>
      <c r="N94">
        <v>90.038436889648438</v>
      </c>
      <c r="O94">
        <v>590.78472900390625</v>
      </c>
      <c r="P94" s="2">
        <f t="shared" si="4"/>
        <v>-0.58534971093586308</v>
      </c>
      <c r="Q94" s="2">
        <f t="shared" si="5"/>
        <v>0.3037333132553014</v>
      </c>
    </row>
    <row r="95" spans="1:17" x14ac:dyDescent="0.45">
      <c r="A95" t="s">
        <v>107</v>
      </c>
      <c r="B95">
        <v>65.5</v>
      </c>
      <c r="C95">
        <v>109.6</v>
      </c>
      <c r="D95">
        <v>1.9591000000000001E-2</v>
      </c>
      <c r="E95">
        <v>33.71</v>
      </c>
      <c r="F95">
        <v>1</v>
      </c>
      <c r="G95">
        <v>0.114421799778938</v>
      </c>
      <c r="H95">
        <v>579.907859200909</v>
      </c>
      <c r="I95">
        <v>62.7031983294657</v>
      </c>
      <c r="K95">
        <v>0.117296077311039</v>
      </c>
      <c r="L95" s="2">
        <f t="shared" si="3"/>
        <v>2.5120016794475157</v>
      </c>
      <c r="N95">
        <v>63.597869873046882</v>
      </c>
      <c r="O95">
        <v>576.7130126953125</v>
      </c>
      <c r="P95" s="2">
        <f t="shared" si="4"/>
        <v>1.4268355800293451</v>
      </c>
      <c r="Q95" s="2">
        <f t="shared" si="5"/>
        <v>-0.55092312595985149</v>
      </c>
    </row>
    <row r="96" spans="1:17" x14ac:dyDescent="0.45">
      <c r="A96" t="s">
        <v>108</v>
      </c>
      <c r="B96">
        <v>84.8</v>
      </c>
      <c r="C96">
        <v>117</v>
      </c>
      <c r="D96">
        <v>2.5236000000000001E-2</v>
      </c>
      <c r="E96">
        <v>31.6</v>
      </c>
      <c r="F96">
        <v>1</v>
      </c>
      <c r="G96">
        <v>0.122470587491989</v>
      </c>
      <c r="H96">
        <v>569.43737394047696</v>
      </c>
      <c r="I96">
        <v>87.254989648502203</v>
      </c>
      <c r="K96">
        <v>0.1278732568025589</v>
      </c>
      <c r="L96" s="2">
        <f t="shared" si="3"/>
        <v>4.4114014811297446</v>
      </c>
      <c r="N96">
        <v>86.591194152832031</v>
      </c>
      <c r="O96">
        <v>568.47442626953125</v>
      </c>
      <c r="P96" s="2">
        <f t="shared" si="4"/>
        <v>-0.76075362376891464</v>
      </c>
      <c r="Q96" s="2">
        <f t="shared" si="5"/>
        <v>-0.16910510532214662</v>
      </c>
    </row>
    <row r="97" spans="1:17" x14ac:dyDescent="0.45">
      <c r="A97" t="s">
        <v>109</v>
      </c>
      <c r="B97">
        <v>49.6</v>
      </c>
      <c r="C97">
        <v>119.7</v>
      </c>
      <c r="D97">
        <v>7.8879999999999992E-3</v>
      </c>
      <c r="E97">
        <v>20</v>
      </c>
      <c r="F97">
        <v>1</v>
      </c>
      <c r="G97">
        <v>3.9291705936193397E-2</v>
      </c>
      <c r="H97">
        <v>500.87813076697</v>
      </c>
      <c r="I97">
        <v>41.546130325758497</v>
      </c>
      <c r="K97">
        <v>4.1036441922187812E-2</v>
      </c>
      <c r="L97" s="2">
        <f t="shared" si="3"/>
        <v>4.4404689092087972</v>
      </c>
      <c r="N97">
        <v>40.876060485839837</v>
      </c>
      <c r="O97">
        <v>497.10845947265619</v>
      </c>
      <c r="P97" s="2">
        <f t="shared" si="4"/>
        <v>-1.6128333364978134</v>
      </c>
      <c r="Q97" s="2">
        <f t="shared" si="5"/>
        <v>-0.75261247452379243</v>
      </c>
    </row>
    <row r="98" spans="1:17" x14ac:dyDescent="0.45">
      <c r="A98" t="s">
        <v>110</v>
      </c>
      <c r="B98">
        <v>71.400000000000006</v>
      </c>
      <c r="C98">
        <v>113.2</v>
      </c>
      <c r="D98">
        <v>1.9342000000000002E-2</v>
      </c>
      <c r="E98">
        <v>29.39</v>
      </c>
      <c r="F98">
        <v>1</v>
      </c>
      <c r="G98">
        <v>0.103221088647842</v>
      </c>
      <c r="H98">
        <v>554.94087545102502</v>
      </c>
      <c r="I98">
        <v>70.679166057612605</v>
      </c>
      <c r="K98">
        <v>0.10724345594644551</v>
      </c>
      <c r="L98" s="2">
        <f t="shared" si="3"/>
        <v>3.8968464209155536</v>
      </c>
      <c r="N98">
        <v>69.335945129394531</v>
      </c>
      <c r="O98">
        <v>558.572509765625</v>
      </c>
      <c r="P98" s="2">
        <f t="shared" si="4"/>
        <v>-1.9004481845798462</v>
      </c>
      <c r="Q98" s="2">
        <f t="shared" si="5"/>
        <v>0.65441824079878563</v>
      </c>
    </row>
    <row r="99" spans="1:17" x14ac:dyDescent="0.45">
      <c r="A99" t="s">
        <v>111</v>
      </c>
      <c r="B99">
        <v>69.7</v>
      </c>
      <c r="C99">
        <v>105.8</v>
      </c>
      <c r="D99">
        <v>1.5259E-2</v>
      </c>
      <c r="E99">
        <v>21.75</v>
      </c>
      <c r="F99">
        <v>1</v>
      </c>
      <c r="G99">
        <v>0.10892380028963</v>
      </c>
      <c r="H99">
        <v>507.34718872675899</v>
      </c>
      <c r="I99">
        <v>71.2115467632741</v>
      </c>
      <c r="K99">
        <v>0.1056843996047974</v>
      </c>
      <c r="L99" s="2">
        <f t="shared" si="3"/>
        <v>-2.9740063018541241</v>
      </c>
      <c r="N99">
        <v>72.773300170898438</v>
      </c>
      <c r="O99">
        <v>499.22137451171881</v>
      </c>
      <c r="P99" s="2">
        <f t="shared" si="4"/>
        <v>2.193118221144692</v>
      </c>
      <c r="Q99" s="2">
        <f t="shared" si="5"/>
        <v>-1.6016279178431565</v>
      </c>
    </row>
    <row r="100" spans="1:17" x14ac:dyDescent="0.45">
      <c r="A100" t="s">
        <v>112</v>
      </c>
      <c r="B100">
        <v>83.7</v>
      </c>
      <c r="C100">
        <v>103.5</v>
      </c>
      <c r="D100">
        <v>2.3219E-2</v>
      </c>
      <c r="E100">
        <v>26.71</v>
      </c>
      <c r="F100">
        <v>1.02</v>
      </c>
      <c r="G100">
        <v>0.18225692212581601</v>
      </c>
      <c r="H100">
        <v>540.16859600406701</v>
      </c>
      <c r="I100">
        <v>92.900827017346003</v>
      </c>
      <c r="K100">
        <v>0.1773803383111954</v>
      </c>
      <c r="L100" s="2">
        <f t="shared" si="3"/>
        <v>-2.6756645277122573</v>
      </c>
      <c r="N100">
        <v>92.298904418945313</v>
      </c>
      <c r="O100">
        <v>539.6060791015625</v>
      </c>
      <c r="P100" s="2">
        <f t="shared" si="4"/>
        <v>-0.64791952636579087</v>
      </c>
      <c r="Q100" s="2">
        <f t="shared" si="5"/>
        <v>-0.10413728355660964</v>
      </c>
    </row>
    <row r="101" spans="1:17" x14ac:dyDescent="0.45">
      <c r="A101" t="s">
        <v>113</v>
      </c>
      <c r="B101">
        <v>77.2</v>
      </c>
      <c r="C101">
        <v>104.3</v>
      </c>
      <c r="D101">
        <v>2.6025E-2</v>
      </c>
      <c r="E101">
        <v>35</v>
      </c>
      <c r="F101">
        <v>1</v>
      </c>
      <c r="G101">
        <v>0.19109742343425701</v>
      </c>
      <c r="H101">
        <v>586.58472903572897</v>
      </c>
      <c r="I101">
        <v>81.0284525656418</v>
      </c>
      <c r="K101">
        <v>0.18987706303596499</v>
      </c>
      <c r="L101" s="2">
        <f t="shared" si="3"/>
        <v>-0.63860641151546094</v>
      </c>
      <c r="N101">
        <v>83.504386901855469</v>
      </c>
      <c r="O101">
        <v>587.86785888671875</v>
      </c>
      <c r="P101" s="2">
        <f t="shared" si="4"/>
        <v>3.0556357153777491</v>
      </c>
      <c r="Q101" s="2">
        <f t="shared" si="5"/>
        <v>0.2187458669609561</v>
      </c>
    </row>
    <row r="102" spans="1:17" x14ac:dyDescent="0.45">
      <c r="A102" t="s">
        <v>114</v>
      </c>
      <c r="B102">
        <v>73.7</v>
      </c>
      <c r="C102">
        <v>114.5</v>
      </c>
      <c r="D102">
        <v>2.3171000000000001E-2</v>
      </c>
      <c r="E102">
        <v>35</v>
      </c>
      <c r="F102">
        <v>1</v>
      </c>
      <c r="G102">
        <v>0.116955146193504</v>
      </c>
      <c r="H102">
        <v>588.99575268932995</v>
      </c>
      <c r="I102">
        <v>72.807477791281599</v>
      </c>
      <c r="K102">
        <v>0.1208110675215721</v>
      </c>
      <c r="L102" s="2">
        <f t="shared" si="3"/>
        <v>3.2969231825749854</v>
      </c>
      <c r="N102">
        <v>74.673545837402344</v>
      </c>
      <c r="O102">
        <v>586.8331298828125</v>
      </c>
      <c r="P102" s="2">
        <f t="shared" si="4"/>
        <v>2.5630170179363074</v>
      </c>
      <c r="Q102" s="2">
        <f t="shared" si="5"/>
        <v>-0.36717120567389533</v>
      </c>
    </row>
    <row r="103" spans="1:17" x14ac:dyDescent="0.45">
      <c r="A103" t="s">
        <v>115</v>
      </c>
      <c r="B103">
        <v>50.3</v>
      </c>
      <c r="C103">
        <v>105.6</v>
      </c>
      <c r="D103">
        <v>1.0793000000000001E-2</v>
      </c>
      <c r="E103">
        <v>26.21</v>
      </c>
      <c r="F103">
        <v>1</v>
      </c>
      <c r="G103">
        <v>7.62791037559509E-2</v>
      </c>
      <c r="H103">
        <v>534.07049725924605</v>
      </c>
      <c r="I103">
        <v>43.008272180232701</v>
      </c>
      <c r="K103">
        <v>7.905299961566925E-2</v>
      </c>
      <c r="L103" s="2">
        <f t="shared" si="3"/>
        <v>3.6365081957349896</v>
      </c>
      <c r="N103">
        <v>42.022457122802727</v>
      </c>
      <c r="O103">
        <v>531.8306884765625</v>
      </c>
      <c r="P103" s="2">
        <f t="shared" si="4"/>
        <v>-2.2921522010899817</v>
      </c>
      <c r="Q103" s="2">
        <f t="shared" si="5"/>
        <v>-0.41938448092112374</v>
      </c>
    </row>
    <row r="104" spans="1:17" x14ac:dyDescent="0.45">
      <c r="A104" t="s">
        <v>116</v>
      </c>
      <c r="B104">
        <v>74.7</v>
      </c>
      <c r="C104">
        <v>114.2</v>
      </c>
      <c r="D104">
        <v>2.0875999999999999E-2</v>
      </c>
      <c r="E104">
        <v>30.12</v>
      </c>
      <c r="F104">
        <v>1</v>
      </c>
      <c r="G104">
        <v>0.108270764350891</v>
      </c>
      <c r="H104">
        <v>559.62211534675998</v>
      </c>
      <c r="I104">
        <v>74.392439923324304</v>
      </c>
      <c r="K104">
        <v>0.1131462082266808</v>
      </c>
      <c r="L104" s="2">
        <f t="shared" si="3"/>
        <v>4.5030104895067851</v>
      </c>
      <c r="N104">
        <v>73.041351318359375</v>
      </c>
      <c r="O104">
        <v>562.24847412109375</v>
      </c>
      <c r="P104" s="2">
        <f t="shared" si="4"/>
        <v>-1.8161638553023465</v>
      </c>
      <c r="Q104" s="2">
        <f t="shared" si="5"/>
        <v>0.46930932540190801</v>
      </c>
    </row>
    <row r="105" spans="1:17" x14ac:dyDescent="0.45">
      <c r="A105" t="s">
        <v>117</v>
      </c>
      <c r="B105">
        <v>83.7</v>
      </c>
      <c r="C105">
        <v>103.3</v>
      </c>
      <c r="D105">
        <v>2.2068999999999998E-2</v>
      </c>
      <c r="E105">
        <v>25.06</v>
      </c>
      <c r="F105">
        <v>1</v>
      </c>
      <c r="G105">
        <v>0.176186218857765</v>
      </c>
      <c r="H105">
        <v>526.78580113025396</v>
      </c>
      <c r="I105">
        <v>91.626456940852606</v>
      </c>
      <c r="K105">
        <v>0.1693688631057739</v>
      </c>
      <c r="L105" s="2">
        <f t="shared" si="3"/>
        <v>-3.869403518725123</v>
      </c>
      <c r="N105">
        <v>91.994407653808594</v>
      </c>
      <c r="O105">
        <v>528.142333984375</v>
      </c>
      <c r="P105" s="2">
        <f t="shared" si="4"/>
        <v>0.40157693011474876</v>
      </c>
      <c r="Q105" s="2">
        <f t="shared" si="5"/>
        <v>0.25751127900761761</v>
      </c>
    </row>
    <row r="106" spans="1:17" x14ac:dyDescent="0.45">
      <c r="A106" t="s">
        <v>118</v>
      </c>
      <c r="B106">
        <v>67.099999999999994</v>
      </c>
      <c r="C106">
        <v>128.1</v>
      </c>
      <c r="D106">
        <v>1.8016999999999998E-2</v>
      </c>
      <c r="E106">
        <v>35</v>
      </c>
      <c r="F106">
        <v>1</v>
      </c>
      <c r="G106">
        <v>7.6044283807277596E-2</v>
      </c>
      <c r="H106">
        <v>595.18073555747605</v>
      </c>
      <c r="I106">
        <v>59.157165366962502</v>
      </c>
      <c r="K106">
        <v>8.5052497684955597E-2</v>
      </c>
      <c r="L106" s="2">
        <f t="shared" si="3"/>
        <v>11.846010543682569</v>
      </c>
      <c r="N106">
        <v>62.7635498046875</v>
      </c>
      <c r="O106">
        <v>589.72479248046875</v>
      </c>
      <c r="P106" s="2">
        <f t="shared" si="4"/>
        <v>6.0962766139214901</v>
      </c>
      <c r="Q106" s="2">
        <f t="shared" si="5"/>
        <v>-0.9166867727828919</v>
      </c>
    </row>
    <row r="107" spans="1:17" x14ac:dyDescent="0.45">
      <c r="A107" t="s">
        <v>119</v>
      </c>
      <c r="B107">
        <v>80.3</v>
      </c>
      <c r="C107">
        <v>122.5</v>
      </c>
      <c r="D107">
        <v>1.7474E-2</v>
      </c>
      <c r="E107">
        <v>23.02</v>
      </c>
      <c r="F107">
        <v>1</v>
      </c>
      <c r="G107">
        <v>8.20480361580848E-2</v>
      </c>
      <c r="H107">
        <v>520.23843509327003</v>
      </c>
      <c r="I107">
        <v>81.819661520068905</v>
      </c>
      <c r="K107">
        <v>8.7995134294033051E-2</v>
      </c>
      <c r="L107" s="2">
        <f t="shared" si="3"/>
        <v>7.2483125915284194</v>
      </c>
      <c r="N107">
        <v>82.595481872558594</v>
      </c>
      <c r="O107">
        <v>510.669189453125</v>
      </c>
      <c r="P107" s="2">
        <f t="shared" si="4"/>
        <v>0.94820772669585496</v>
      </c>
      <c r="Q107" s="2">
        <f t="shared" si="5"/>
        <v>-1.8393961296668557</v>
      </c>
    </row>
    <row r="108" spans="1:17" x14ac:dyDescent="0.45">
      <c r="A108" t="s">
        <v>120</v>
      </c>
      <c r="B108">
        <v>80.5</v>
      </c>
      <c r="C108">
        <v>130</v>
      </c>
      <c r="D108">
        <v>1.4704999999999999E-2</v>
      </c>
      <c r="E108">
        <v>20</v>
      </c>
      <c r="F108">
        <v>1</v>
      </c>
      <c r="G108">
        <v>6.6896915435791002E-2</v>
      </c>
      <c r="H108">
        <v>506.428291801603</v>
      </c>
      <c r="I108">
        <v>80.453290222890701</v>
      </c>
      <c r="K108">
        <v>7.226157933473587E-2</v>
      </c>
      <c r="L108" s="2">
        <f t="shared" si="3"/>
        <v>8.0192993413784226</v>
      </c>
      <c r="N108">
        <v>82.4727783203125</v>
      </c>
      <c r="O108">
        <v>489.68496704101563</v>
      </c>
      <c r="P108" s="2">
        <f t="shared" si="4"/>
        <v>2.5101373627193326</v>
      </c>
      <c r="Q108" s="2">
        <f t="shared" si="5"/>
        <v>-3.3061590419886517</v>
      </c>
    </row>
    <row r="109" spans="1:17" x14ac:dyDescent="0.45">
      <c r="A109" t="s">
        <v>121</v>
      </c>
      <c r="B109">
        <v>48.2</v>
      </c>
      <c r="C109">
        <v>110.3</v>
      </c>
      <c r="D109">
        <v>8.4069999999999995E-3</v>
      </c>
      <c r="E109">
        <v>21.48</v>
      </c>
      <c r="F109">
        <v>1</v>
      </c>
      <c r="G109">
        <v>5.0859920680522898E-2</v>
      </c>
      <c r="H109">
        <v>506.69770523029001</v>
      </c>
      <c r="I109">
        <v>39.964647131843797</v>
      </c>
      <c r="K109">
        <v>5.2262730896472931E-2</v>
      </c>
      <c r="L109" s="2">
        <f t="shared" si="3"/>
        <v>2.7581840419331356</v>
      </c>
      <c r="N109">
        <v>36.214443206787109</v>
      </c>
      <c r="O109">
        <v>504.5816650390625</v>
      </c>
      <c r="P109" s="2">
        <f t="shared" si="4"/>
        <v>-9.3838034217710593</v>
      </c>
      <c r="Q109" s="2">
        <f t="shared" si="5"/>
        <v>-0.4176139282623727</v>
      </c>
    </row>
    <row r="110" spans="1:17" x14ac:dyDescent="0.45">
      <c r="A110" t="s">
        <v>122</v>
      </c>
      <c r="B110">
        <v>70.8</v>
      </c>
      <c r="C110">
        <v>108.7</v>
      </c>
      <c r="D110">
        <v>1.8822999999999999E-2</v>
      </c>
      <c r="E110">
        <v>27.99</v>
      </c>
      <c r="F110">
        <v>1</v>
      </c>
      <c r="G110">
        <v>0.116195723414421</v>
      </c>
      <c r="H110">
        <v>545.37997374844201</v>
      </c>
      <c r="I110">
        <v>70.7460718305272</v>
      </c>
      <c r="K110">
        <v>0.11747210472822189</v>
      </c>
      <c r="L110" s="2">
        <f t="shared" si="3"/>
        <v>1.0984752934912956</v>
      </c>
      <c r="N110">
        <v>70.262245178222656</v>
      </c>
      <c r="O110">
        <v>541.033447265625</v>
      </c>
      <c r="P110" s="2">
        <f t="shared" si="4"/>
        <v>-0.68389189644840509</v>
      </c>
      <c r="Q110" s="2">
        <f t="shared" si="5"/>
        <v>-0.79697214639968783</v>
      </c>
    </row>
    <row r="111" spans="1:17" x14ac:dyDescent="0.45">
      <c r="A111" t="s">
        <v>123</v>
      </c>
      <c r="B111">
        <v>77.2</v>
      </c>
      <c r="C111">
        <v>106.5</v>
      </c>
      <c r="D111">
        <v>2.3779999999999999E-2</v>
      </c>
      <c r="E111">
        <v>31.78</v>
      </c>
      <c r="F111">
        <v>1</v>
      </c>
      <c r="G111">
        <v>0.15811114013194999</v>
      </c>
      <c r="H111">
        <v>567.65979024449098</v>
      </c>
      <c r="I111">
        <v>79.936542695777504</v>
      </c>
      <c r="K111">
        <v>0.16996853053569791</v>
      </c>
      <c r="L111" s="2">
        <f t="shared" si="3"/>
        <v>7.4994022520187125</v>
      </c>
      <c r="N111">
        <v>83.467735290527344</v>
      </c>
      <c r="O111">
        <v>567.4117431640625</v>
      </c>
      <c r="P111" s="2">
        <f t="shared" si="4"/>
        <v>4.417494772308145</v>
      </c>
      <c r="Q111" s="2">
        <f t="shared" si="5"/>
        <v>-4.3696433090961745E-2</v>
      </c>
    </row>
    <row r="112" spans="1:17" x14ac:dyDescent="0.45">
      <c r="A112" t="s">
        <v>124</v>
      </c>
      <c r="B112">
        <v>61.7</v>
      </c>
      <c r="C112">
        <v>129</v>
      </c>
      <c r="D112">
        <v>1.0243E-2</v>
      </c>
      <c r="E112">
        <v>20</v>
      </c>
      <c r="F112">
        <v>1</v>
      </c>
      <c r="G112">
        <v>4.6788427978754002E-2</v>
      </c>
      <c r="H112">
        <v>505.75697375779401</v>
      </c>
      <c r="I112">
        <v>55.9945944537575</v>
      </c>
      <c r="K112">
        <v>5.1256440579891198E-2</v>
      </c>
      <c r="L112" s="2">
        <f t="shared" si="3"/>
        <v>9.5493967080194704</v>
      </c>
      <c r="N112">
        <v>57.565895080566413</v>
      </c>
      <c r="O112">
        <v>493.47207641601563</v>
      </c>
      <c r="P112" s="2">
        <f t="shared" si="4"/>
        <v>2.8061648488347459</v>
      </c>
      <c r="Q112" s="2">
        <f t="shared" si="5"/>
        <v>-2.4290119522230458</v>
      </c>
    </row>
    <row r="113" spans="1:17" x14ac:dyDescent="0.45">
      <c r="A113" t="s">
        <v>125</v>
      </c>
      <c r="B113">
        <v>53.8</v>
      </c>
      <c r="C113">
        <v>130</v>
      </c>
      <c r="D113">
        <v>9.9170000000000005E-3</v>
      </c>
      <c r="E113">
        <v>25.76</v>
      </c>
      <c r="F113">
        <v>1</v>
      </c>
      <c r="G113">
        <v>4.3395120650529799E-2</v>
      </c>
      <c r="H113">
        <v>540.98829180160305</v>
      </c>
      <c r="I113">
        <v>43.333134791711998</v>
      </c>
      <c r="K113">
        <v>5.0180681049823761E-2</v>
      </c>
      <c r="L113" s="2">
        <f t="shared" si="3"/>
        <v>15.636689788097453</v>
      </c>
      <c r="N113">
        <v>44.841114044189453</v>
      </c>
      <c r="O113">
        <v>528.42242431640625</v>
      </c>
      <c r="P113" s="2">
        <f t="shared" si="4"/>
        <v>3.4799680653749396</v>
      </c>
      <c r="Q113" s="2">
        <f t="shared" si="5"/>
        <v>-2.3227614489307822</v>
      </c>
    </row>
    <row r="114" spans="1:17" x14ac:dyDescent="0.45">
      <c r="A114" t="s">
        <v>126</v>
      </c>
      <c r="B114">
        <v>51.5</v>
      </c>
      <c r="C114">
        <v>106.3</v>
      </c>
      <c r="D114">
        <v>1.0525E-2</v>
      </c>
      <c r="E114">
        <v>24.29</v>
      </c>
      <c r="F114">
        <v>1</v>
      </c>
      <c r="G114">
        <v>7.2678454220294897E-2</v>
      </c>
      <c r="H114">
        <v>522.68123671078297</v>
      </c>
      <c r="I114">
        <v>45.078824893096098</v>
      </c>
      <c r="K114">
        <v>7.318558543920517E-2</v>
      </c>
      <c r="L114" s="2">
        <f t="shared" si="3"/>
        <v>0.69777380979115589</v>
      </c>
      <c r="N114">
        <v>43.341648101806641</v>
      </c>
      <c r="O114">
        <v>521.01904296875</v>
      </c>
      <c r="P114" s="2">
        <f t="shared" si="4"/>
        <v>-3.8536425814318611</v>
      </c>
      <c r="Q114" s="2">
        <f t="shared" si="5"/>
        <v>-0.31801289682658268</v>
      </c>
    </row>
    <row r="115" spans="1:17" x14ac:dyDescent="0.45">
      <c r="A115" t="s">
        <v>127</v>
      </c>
      <c r="B115">
        <v>49.1</v>
      </c>
      <c r="C115">
        <v>107.4</v>
      </c>
      <c r="D115">
        <v>9.5829999999999995E-3</v>
      </c>
      <c r="E115">
        <v>23.98</v>
      </c>
      <c r="F115">
        <v>1</v>
      </c>
      <c r="G115">
        <v>6.3293382525444003E-2</v>
      </c>
      <c r="H115">
        <v>521.03997454648299</v>
      </c>
      <c r="I115">
        <v>41.331889240059603</v>
      </c>
      <c r="K115">
        <v>6.4691610634326935E-2</v>
      </c>
      <c r="L115" s="2">
        <f t="shared" si="3"/>
        <v>2.2091221121273503</v>
      </c>
      <c r="N115">
        <v>39.2664794921875</v>
      </c>
      <c r="O115">
        <v>520.0013427734375</v>
      </c>
      <c r="P115" s="2">
        <f t="shared" si="4"/>
        <v>-4.9971336559913908</v>
      </c>
      <c r="Q115" s="2">
        <f t="shared" si="5"/>
        <v>-0.19933821276371883</v>
      </c>
    </row>
    <row r="116" spans="1:17" x14ac:dyDescent="0.45">
      <c r="A116" t="s">
        <v>128</v>
      </c>
      <c r="B116">
        <v>70.400000000000006</v>
      </c>
      <c r="C116">
        <v>126.1</v>
      </c>
      <c r="D116">
        <v>1.2737E-2</v>
      </c>
      <c r="E116">
        <v>20</v>
      </c>
      <c r="F116">
        <v>1</v>
      </c>
      <c r="G116">
        <v>5.9196379035711198E-2</v>
      </c>
      <c r="H116">
        <v>503.98864265675098</v>
      </c>
      <c r="I116">
        <v>68.804126738068902</v>
      </c>
      <c r="K116">
        <v>6.4395658671855927E-2</v>
      </c>
      <c r="L116" s="2">
        <f t="shared" si="3"/>
        <v>8.7831041709631883</v>
      </c>
      <c r="N116">
        <v>68.459617614746094</v>
      </c>
      <c r="O116">
        <v>491.97836303710938</v>
      </c>
      <c r="P116" s="2">
        <f t="shared" si="4"/>
        <v>-0.50070997141541163</v>
      </c>
      <c r="Q116" s="2">
        <f t="shared" si="5"/>
        <v>-2.3830456885556028</v>
      </c>
    </row>
    <row r="117" spans="1:17" x14ac:dyDescent="0.45">
      <c r="A117" t="s">
        <v>129</v>
      </c>
      <c r="B117">
        <v>51.7</v>
      </c>
      <c r="C117">
        <v>120.8</v>
      </c>
      <c r="D117">
        <v>8.3750000000000005E-3</v>
      </c>
      <c r="E117">
        <v>20</v>
      </c>
      <c r="F117">
        <v>1</v>
      </c>
      <c r="G117">
        <v>4.1103187948465299E-2</v>
      </c>
      <c r="H117">
        <v>501.34478278015803</v>
      </c>
      <c r="I117">
        <v>44.177626266581399</v>
      </c>
      <c r="K117">
        <v>4.3995462357997887E-2</v>
      </c>
      <c r="L117" s="2">
        <f t="shared" si="3"/>
        <v>7.0366182135528978</v>
      </c>
      <c r="N117">
        <v>44.291267395019531</v>
      </c>
      <c r="O117">
        <v>496.07659912109381</v>
      </c>
      <c r="P117" s="2">
        <f t="shared" si="4"/>
        <v>0.25723683692823807</v>
      </c>
      <c r="Q117" s="2">
        <f t="shared" si="5"/>
        <v>-1.0508105080599479</v>
      </c>
    </row>
    <row r="118" spans="1:17" x14ac:dyDescent="0.45">
      <c r="A118" t="s">
        <v>130</v>
      </c>
      <c r="B118">
        <v>83.7</v>
      </c>
      <c r="C118">
        <v>111.9</v>
      </c>
      <c r="D118">
        <v>2.5301000000000001E-2</v>
      </c>
      <c r="E118">
        <v>31.08</v>
      </c>
      <c r="F118">
        <v>1</v>
      </c>
      <c r="G118">
        <v>0.13880451023578599</v>
      </c>
      <c r="H118">
        <v>564.713579105995</v>
      </c>
      <c r="I118">
        <v>87.703272111263999</v>
      </c>
      <c r="K118">
        <v>0.14762531220912931</v>
      </c>
      <c r="L118" s="2">
        <f t="shared" si="3"/>
        <v>6.3548381521317241</v>
      </c>
      <c r="N118">
        <v>87.638023376464844</v>
      </c>
      <c r="O118">
        <v>561.65460205078125</v>
      </c>
      <c r="P118" s="2">
        <f t="shared" si="4"/>
        <v>-7.4397149876435656E-2</v>
      </c>
      <c r="Q118" s="2">
        <f t="shared" si="5"/>
        <v>-0.54168647052129493</v>
      </c>
    </row>
    <row r="119" spans="1:17" x14ac:dyDescent="0.45">
      <c r="A119" t="s">
        <v>131</v>
      </c>
      <c r="B119">
        <v>60.4</v>
      </c>
      <c r="C119">
        <v>130</v>
      </c>
      <c r="D119">
        <v>1.1263E-2</v>
      </c>
      <c r="E119">
        <v>24.09</v>
      </c>
      <c r="F119">
        <v>1</v>
      </c>
      <c r="G119">
        <v>4.9785494804382303E-2</v>
      </c>
      <c r="H119">
        <v>530.96829180160296</v>
      </c>
      <c r="I119">
        <v>52.447163748640797</v>
      </c>
      <c r="K119">
        <v>5.5021431297063828E-2</v>
      </c>
      <c r="L119" s="2">
        <f t="shared" si="3"/>
        <v>10.516991973775939</v>
      </c>
      <c r="N119">
        <v>54.069290161132813</v>
      </c>
      <c r="O119">
        <v>520.2734375</v>
      </c>
      <c r="P119" s="2">
        <f t="shared" si="4"/>
        <v>3.0928772817272772</v>
      </c>
      <c r="Q119" s="2">
        <f t="shared" si="5"/>
        <v>-2.0142171324985836</v>
      </c>
    </row>
    <row r="120" spans="1:17" x14ac:dyDescent="0.45">
      <c r="A120" t="s">
        <v>132</v>
      </c>
      <c r="B120">
        <v>70.2</v>
      </c>
      <c r="C120">
        <v>109</v>
      </c>
      <c r="D120">
        <v>2.2374000000000002E-2</v>
      </c>
      <c r="E120">
        <v>35</v>
      </c>
      <c r="F120">
        <v>1</v>
      </c>
      <c r="G120">
        <v>0.132979720830917</v>
      </c>
      <c r="H120">
        <v>587.50797390836101</v>
      </c>
      <c r="I120">
        <v>68.889129541299397</v>
      </c>
      <c r="K120">
        <v>0.1394779235124588</v>
      </c>
      <c r="L120" s="2">
        <f t="shared" si="3"/>
        <v>4.8866117637622608</v>
      </c>
      <c r="N120">
        <v>70.945472717285156</v>
      </c>
      <c r="O120">
        <v>585.3001708984375</v>
      </c>
      <c r="P120" s="2">
        <f t="shared" si="4"/>
        <v>2.9850038600835722</v>
      </c>
      <c r="Q120" s="2">
        <f t="shared" si="5"/>
        <v>-0.37579115654145667</v>
      </c>
    </row>
    <row r="121" spans="1:17" x14ac:dyDescent="0.45">
      <c r="A121" t="s">
        <v>133</v>
      </c>
      <c r="B121">
        <v>79.400000000000006</v>
      </c>
      <c r="C121">
        <v>102</v>
      </c>
      <c r="D121">
        <v>2.7243E-2</v>
      </c>
      <c r="E121">
        <v>35</v>
      </c>
      <c r="F121">
        <v>1</v>
      </c>
      <c r="G121">
        <v>0.22999127209186501</v>
      </c>
      <c r="H121">
        <v>586.23789080078097</v>
      </c>
      <c r="I121">
        <v>85.393510321690499</v>
      </c>
      <c r="K121">
        <v>0.21488529443740839</v>
      </c>
      <c r="L121" s="2">
        <f t="shared" si="3"/>
        <v>-6.5680656126911057</v>
      </c>
      <c r="N121">
        <v>88.663673400878906</v>
      </c>
      <c r="O121">
        <v>587.39849853515625</v>
      </c>
      <c r="P121" s="2">
        <f t="shared" si="4"/>
        <v>3.8295217831767299</v>
      </c>
      <c r="Q121" s="2">
        <f t="shared" si="5"/>
        <v>0.19797555780468665</v>
      </c>
    </row>
    <row r="122" spans="1:17" x14ac:dyDescent="0.45">
      <c r="A122" t="s">
        <v>134</v>
      </c>
      <c r="B122">
        <v>55.6</v>
      </c>
      <c r="C122">
        <v>127.1</v>
      </c>
      <c r="D122">
        <v>1.1174999999999999E-2</v>
      </c>
      <c r="E122">
        <v>27.01</v>
      </c>
      <c r="F122">
        <v>1</v>
      </c>
      <c r="G122">
        <v>4.9234911799430799E-2</v>
      </c>
      <c r="H122">
        <v>546.62994507473104</v>
      </c>
      <c r="I122">
        <v>46.307697227686603</v>
      </c>
      <c r="K122">
        <v>5.766582116484642E-2</v>
      </c>
      <c r="L122" s="2">
        <f t="shared" si="3"/>
        <v>17.123843746812785</v>
      </c>
      <c r="N122">
        <v>47.330242156982422</v>
      </c>
      <c r="O122">
        <v>536.03564453125</v>
      </c>
      <c r="P122" s="2">
        <f t="shared" si="4"/>
        <v>2.2081532671947595</v>
      </c>
      <c r="Q122" s="2">
        <f t="shared" si="5"/>
        <v>-1.9381119967792231</v>
      </c>
    </row>
    <row r="123" spans="1:17" x14ac:dyDescent="0.45">
      <c r="A123" t="s">
        <v>135</v>
      </c>
      <c r="B123">
        <v>65.400000000000006</v>
      </c>
      <c r="C123">
        <v>117.2</v>
      </c>
      <c r="D123">
        <v>1.9224000000000002E-2</v>
      </c>
      <c r="E123">
        <v>35</v>
      </c>
      <c r="F123">
        <v>1</v>
      </c>
      <c r="G123">
        <v>9.1627664864063194E-2</v>
      </c>
      <c r="H123">
        <v>589.90961013106096</v>
      </c>
      <c r="I123">
        <v>60.7531275571883</v>
      </c>
      <c r="K123">
        <v>0.1003790944814682</v>
      </c>
      <c r="L123" s="2">
        <f t="shared" si="3"/>
        <v>9.551077865389713</v>
      </c>
      <c r="N123">
        <v>63.842521667480469</v>
      </c>
      <c r="O123">
        <v>586.021728515625</v>
      </c>
      <c r="P123" s="2">
        <f t="shared" si="4"/>
        <v>5.085160607384454</v>
      </c>
      <c r="Q123" s="2">
        <f t="shared" si="5"/>
        <v>-0.65906395635293735</v>
      </c>
    </row>
    <row r="124" spans="1:17" x14ac:dyDescent="0.45">
      <c r="A124" t="s">
        <v>136</v>
      </c>
      <c r="B124">
        <v>81.3</v>
      </c>
      <c r="C124">
        <v>125.3</v>
      </c>
      <c r="D124">
        <v>2.4145E-2</v>
      </c>
      <c r="E124">
        <v>35</v>
      </c>
      <c r="F124">
        <v>1</v>
      </c>
      <c r="G124">
        <v>0.103772230446338</v>
      </c>
      <c r="H124">
        <v>593.54383878852298</v>
      </c>
      <c r="I124">
        <v>78.950916706564598</v>
      </c>
      <c r="K124">
        <v>0.11771140247583391</v>
      </c>
      <c r="L124" s="2">
        <f t="shared" si="3"/>
        <v>13.432468368022635</v>
      </c>
      <c r="N124">
        <v>80.600799560546875</v>
      </c>
      <c r="O124">
        <v>589.806884765625</v>
      </c>
      <c r="P124" s="2">
        <f t="shared" si="4"/>
        <v>2.0897576909896634</v>
      </c>
      <c r="Q124" s="2">
        <f t="shared" si="5"/>
        <v>-0.62960033929851567</v>
      </c>
    </row>
    <row r="125" spans="1:17" x14ac:dyDescent="0.45">
      <c r="A125" t="s">
        <v>137</v>
      </c>
      <c r="B125">
        <v>63.6</v>
      </c>
      <c r="C125">
        <v>118.7</v>
      </c>
      <c r="D125">
        <v>1.4123E-2</v>
      </c>
      <c r="E125">
        <v>25.56</v>
      </c>
      <c r="F125">
        <v>1</v>
      </c>
      <c r="G125">
        <v>6.8682610988616902E-2</v>
      </c>
      <c r="H125">
        <v>533.83581994589395</v>
      </c>
      <c r="I125">
        <v>59.656119207256602</v>
      </c>
      <c r="K125">
        <v>7.5489461421966553E-2</v>
      </c>
      <c r="L125" s="2">
        <f t="shared" si="3"/>
        <v>9.9105877533947897</v>
      </c>
      <c r="N125">
        <v>61.117706298828118</v>
      </c>
      <c r="O125">
        <v>531.3184814453125</v>
      </c>
      <c r="P125" s="2">
        <f t="shared" si="4"/>
        <v>2.4500204019200233</v>
      </c>
      <c r="Q125" s="2">
        <f t="shared" si="5"/>
        <v>-0.47155668588079874</v>
      </c>
    </row>
    <row r="126" spans="1:17" x14ac:dyDescent="0.45">
      <c r="A126" t="s">
        <v>138</v>
      </c>
      <c r="B126">
        <v>73.8</v>
      </c>
      <c r="C126">
        <v>122.1</v>
      </c>
      <c r="D126">
        <v>1.9595000000000001E-2</v>
      </c>
      <c r="E126">
        <v>30.63</v>
      </c>
      <c r="F126">
        <v>1</v>
      </c>
      <c r="G126">
        <v>8.8458627462387002E-2</v>
      </c>
      <c r="H126">
        <v>565.71046377432401</v>
      </c>
      <c r="I126">
        <v>71.259188776174298</v>
      </c>
      <c r="K126">
        <v>9.4208516180515289E-2</v>
      </c>
      <c r="L126" s="2">
        <f t="shared" si="3"/>
        <v>6.5000881011557254</v>
      </c>
      <c r="N126">
        <v>71.969688415527344</v>
      </c>
      <c r="O126">
        <v>558.6796875</v>
      </c>
      <c r="P126" s="2">
        <f t="shared" si="4"/>
        <v>0.99706388966162784</v>
      </c>
      <c r="Q126" s="2">
        <f t="shared" si="5"/>
        <v>-1.2428223843370101</v>
      </c>
    </row>
    <row r="127" spans="1:17" x14ac:dyDescent="0.45">
      <c r="A127" t="s">
        <v>139</v>
      </c>
      <c r="B127">
        <v>52.8</v>
      </c>
      <c r="C127">
        <v>110.7</v>
      </c>
      <c r="D127">
        <v>1.3519E-2</v>
      </c>
      <c r="E127">
        <v>32.229999999999997</v>
      </c>
      <c r="F127">
        <v>1</v>
      </c>
      <c r="G127">
        <v>7.6551839709281894E-2</v>
      </c>
      <c r="H127">
        <v>571.29802696960201</v>
      </c>
      <c r="I127">
        <v>45.660169116800603</v>
      </c>
      <c r="K127">
        <v>7.7920831739902496E-2</v>
      </c>
      <c r="L127" s="2">
        <f t="shared" si="3"/>
        <v>1.7883202230273936</v>
      </c>
      <c r="N127">
        <v>45.765514373779297</v>
      </c>
      <c r="O127">
        <v>571.5465087890625</v>
      </c>
      <c r="P127" s="2">
        <f t="shared" si="4"/>
        <v>0.23071587122074955</v>
      </c>
      <c r="Q127" s="2">
        <f t="shared" si="5"/>
        <v>4.3494254790016181E-2</v>
      </c>
    </row>
    <row r="128" spans="1:17" x14ac:dyDescent="0.45">
      <c r="A128" t="s">
        <v>140</v>
      </c>
      <c r="B128">
        <v>55.3</v>
      </c>
      <c r="C128">
        <v>104.1</v>
      </c>
      <c r="D128">
        <v>1.2782E-2</v>
      </c>
      <c r="E128">
        <v>26.56</v>
      </c>
      <c r="F128">
        <v>1</v>
      </c>
      <c r="G128">
        <v>9.72154811024665E-2</v>
      </c>
      <c r="H128">
        <v>535.91192894749599</v>
      </c>
      <c r="I128">
        <v>50.392949261471699</v>
      </c>
      <c r="K128">
        <v>9.5990829169750214E-2</v>
      </c>
      <c r="L128" s="2">
        <f t="shared" si="3"/>
        <v>-1.2597293340815603</v>
      </c>
      <c r="N128">
        <v>49.372734069824219</v>
      </c>
      <c r="O128">
        <v>533.12213134765625</v>
      </c>
      <c r="P128" s="2">
        <f t="shared" si="4"/>
        <v>-2.0245197127755596</v>
      </c>
      <c r="Q128" s="2">
        <f t="shared" si="5"/>
        <v>-0.5205701625859992</v>
      </c>
    </row>
    <row r="129" spans="1:17" x14ac:dyDescent="0.45">
      <c r="A129" t="s">
        <v>141</v>
      </c>
      <c r="B129">
        <v>56.4</v>
      </c>
      <c r="C129">
        <v>130</v>
      </c>
      <c r="D129">
        <v>1.2696000000000001E-2</v>
      </c>
      <c r="E129">
        <v>32.11</v>
      </c>
      <c r="F129">
        <v>1.1499999999999999</v>
      </c>
      <c r="G129">
        <v>5.3903374820947599E-2</v>
      </c>
      <c r="H129">
        <v>610.33702492240195</v>
      </c>
      <c r="I129">
        <v>47.210700054264002</v>
      </c>
      <c r="K129">
        <v>5.7439729571342468E-2</v>
      </c>
      <c r="L129" s="2">
        <f t="shared" si="3"/>
        <v>6.5605442370569227</v>
      </c>
      <c r="N129">
        <v>48.674983978271477</v>
      </c>
      <c r="O129">
        <v>602.03863525390625</v>
      </c>
      <c r="P129" s="2">
        <f t="shared" si="4"/>
        <v>3.1015933301654632</v>
      </c>
      <c r="Q129" s="2">
        <f t="shared" si="5"/>
        <v>-1.3596405477040747</v>
      </c>
    </row>
    <row r="130" spans="1:17" x14ac:dyDescent="0.45">
      <c r="A130" t="s">
        <v>142</v>
      </c>
      <c r="B130">
        <v>89.9</v>
      </c>
      <c r="C130">
        <v>130</v>
      </c>
      <c r="D130">
        <v>2.2775E-2</v>
      </c>
      <c r="E130">
        <v>29.48</v>
      </c>
      <c r="F130">
        <v>1</v>
      </c>
      <c r="G130">
        <v>9.7761929035186698E-2</v>
      </c>
      <c r="H130">
        <v>563.30829180160299</v>
      </c>
      <c r="I130">
        <v>88.499670122666203</v>
      </c>
      <c r="K130">
        <v>0.10267792642116549</v>
      </c>
      <c r="L130" s="2">
        <f t="shared" si="3"/>
        <v>5.0285396723395452</v>
      </c>
      <c r="N130">
        <v>90.382850646972656</v>
      </c>
      <c r="O130">
        <v>553.68701171875</v>
      </c>
      <c r="P130" s="2">
        <f t="shared" si="4"/>
        <v>2.1278955296627036</v>
      </c>
      <c r="Q130" s="2">
        <f t="shared" si="5"/>
        <v>-1.7079954658721057</v>
      </c>
    </row>
    <row r="131" spans="1:17" x14ac:dyDescent="0.45">
      <c r="A131" t="s">
        <v>143</v>
      </c>
      <c r="B131">
        <v>56.7</v>
      </c>
      <c r="C131">
        <v>113.1</v>
      </c>
      <c r="D131">
        <v>1.5984000000000002E-2</v>
      </c>
      <c r="E131">
        <v>35</v>
      </c>
      <c r="F131">
        <v>1</v>
      </c>
      <c r="G131">
        <v>8.3530500531196594E-2</v>
      </c>
      <c r="H131">
        <v>588.57165791054501</v>
      </c>
      <c r="I131">
        <v>49.871980414028798</v>
      </c>
      <c r="K131">
        <v>9.075947105884552E-2</v>
      </c>
      <c r="L131" s="2">
        <f t="shared" si="3"/>
        <v>8.6542885313479978</v>
      </c>
      <c r="N131">
        <v>50.426483154296882</v>
      </c>
      <c r="O131">
        <v>587.97198486328125</v>
      </c>
      <c r="P131" s="2">
        <f t="shared" si="4"/>
        <v>1.111852257850392</v>
      </c>
      <c r="Q131" s="2">
        <f t="shared" si="5"/>
        <v>-0.10188615765030704</v>
      </c>
    </row>
    <row r="132" spans="1:17" x14ac:dyDescent="0.45">
      <c r="A132" t="s">
        <v>144</v>
      </c>
      <c r="B132">
        <v>47.2</v>
      </c>
      <c r="C132">
        <v>103.9</v>
      </c>
      <c r="D132">
        <v>9.2010000000000008E-3</v>
      </c>
      <c r="E132">
        <v>24.38</v>
      </c>
      <c r="F132">
        <v>1</v>
      </c>
      <c r="G132">
        <v>7.1233578026294694E-2</v>
      </c>
      <c r="H132">
        <v>522.79963820818602</v>
      </c>
      <c r="I132">
        <v>39.390062578124201</v>
      </c>
      <c r="K132">
        <v>7.2067566215991974E-2</v>
      </c>
      <c r="L132" s="2">
        <f t="shared" si="3"/>
        <v>1.170779585702443</v>
      </c>
      <c r="N132">
        <v>38.189979553222663</v>
      </c>
      <c r="O132">
        <v>520.2271728515625</v>
      </c>
      <c r="P132" s="2">
        <f t="shared" si="4"/>
        <v>-3.0466644284236808</v>
      </c>
      <c r="Q132" s="2">
        <f t="shared" si="5"/>
        <v>-0.49205568799554789</v>
      </c>
    </row>
    <row r="133" spans="1:17" x14ac:dyDescent="0.45">
      <c r="A133" t="s">
        <v>145</v>
      </c>
      <c r="B133">
        <v>89.3</v>
      </c>
      <c r="C133">
        <v>126</v>
      </c>
      <c r="D133">
        <v>1.8825999999999999E-2</v>
      </c>
      <c r="E133">
        <v>22.03</v>
      </c>
      <c r="F133">
        <v>1</v>
      </c>
      <c r="G133">
        <v>8.6197838187217699E-2</v>
      </c>
      <c r="H133">
        <v>516.11207657563295</v>
      </c>
      <c r="I133">
        <v>93.874355248184301</v>
      </c>
      <c r="K133">
        <v>9.7109965980052948E-2</v>
      </c>
      <c r="L133" s="2">
        <f t="shared" si="3"/>
        <v>12.659398451657935</v>
      </c>
      <c r="N133">
        <v>94.388641357421875</v>
      </c>
      <c r="O133">
        <v>499.46450805664063</v>
      </c>
      <c r="P133" s="2">
        <f t="shared" si="4"/>
        <v>0.54784515736796091</v>
      </c>
      <c r="Q133" s="2">
        <f t="shared" si="5"/>
        <v>-3.2255723658798621</v>
      </c>
    </row>
    <row r="134" spans="1:17" x14ac:dyDescent="0.45">
      <c r="A134" t="s">
        <v>146</v>
      </c>
      <c r="B134">
        <v>45</v>
      </c>
      <c r="C134">
        <v>111.6</v>
      </c>
      <c r="D134">
        <v>7.3200000000000001E-3</v>
      </c>
      <c r="E134">
        <v>21.18</v>
      </c>
      <c r="F134">
        <v>1</v>
      </c>
      <c r="G134">
        <v>4.2731728404760298E-2</v>
      </c>
      <c r="H134">
        <v>505.232612438442</v>
      </c>
      <c r="I134">
        <v>35.4271611088231</v>
      </c>
      <c r="K134">
        <v>4.4975791126489639E-2</v>
      </c>
      <c r="L134" s="2">
        <f t="shared" si="3"/>
        <v>5.2515140517446355</v>
      </c>
      <c r="N134">
        <v>31.85466194152832</v>
      </c>
      <c r="O134">
        <v>502.51712036132813</v>
      </c>
      <c r="P134" s="2">
        <f t="shared" si="4"/>
        <v>-10.08406842513004</v>
      </c>
      <c r="Q134" s="2">
        <f t="shared" si="5"/>
        <v>-0.53747363298815887</v>
      </c>
    </row>
    <row r="135" spans="1:17" x14ac:dyDescent="0.45">
      <c r="A135" t="s">
        <v>147</v>
      </c>
      <c r="B135">
        <v>84.1</v>
      </c>
      <c r="C135">
        <v>119.5</v>
      </c>
      <c r="D135">
        <v>2.6636E-2</v>
      </c>
      <c r="E135">
        <v>35</v>
      </c>
      <c r="F135">
        <v>1</v>
      </c>
      <c r="G135">
        <v>0.12221786379814099</v>
      </c>
      <c r="H135">
        <v>590.79602888269199</v>
      </c>
      <c r="I135">
        <v>84.889805951499198</v>
      </c>
      <c r="K135">
        <v>0.13509838283061981</v>
      </c>
      <c r="L135" s="2">
        <f t="shared" si="3"/>
        <v>10.538982299471952</v>
      </c>
      <c r="N135">
        <v>86.027870178222656</v>
      </c>
      <c r="O135">
        <v>589.83526611328125</v>
      </c>
      <c r="P135" s="2">
        <f t="shared" si="4"/>
        <v>1.340637092955163</v>
      </c>
      <c r="Q135" s="2">
        <f t="shared" si="5"/>
        <v>-0.16262173786572681</v>
      </c>
    </row>
    <row r="136" spans="1:17" x14ac:dyDescent="0.45">
      <c r="A136" t="s">
        <v>148</v>
      </c>
      <c r="B136">
        <v>56.6</v>
      </c>
      <c r="C136">
        <v>124.6</v>
      </c>
      <c r="D136">
        <v>9.3749999999999997E-3</v>
      </c>
      <c r="E136">
        <v>20</v>
      </c>
      <c r="F136">
        <v>1</v>
      </c>
      <c r="G136">
        <v>4.4110313057899399E-2</v>
      </c>
      <c r="H136">
        <v>503.16878843844398</v>
      </c>
      <c r="I136">
        <v>49.938001708178099</v>
      </c>
      <c r="K136">
        <v>4.7945089638233178E-2</v>
      </c>
      <c r="L136" s="2">
        <f t="shared" si="3"/>
        <v>8.6936054507258511</v>
      </c>
      <c r="N136">
        <v>50.468059539794922</v>
      </c>
      <c r="O136">
        <v>493.048095703125</v>
      </c>
      <c r="P136" s="2">
        <f t="shared" si="4"/>
        <v>1.0614318024063381</v>
      </c>
      <c r="Q136" s="2">
        <f t="shared" si="5"/>
        <v>-2.0113912006998653</v>
      </c>
    </row>
    <row r="137" spans="1:17" x14ac:dyDescent="0.45">
      <c r="A137" t="s">
        <v>149</v>
      </c>
      <c r="B137">
        <v>86.9</v>
      </c>
      <c r="C137">
        <v>120.9</v>
      </c>
      <c r="D137">
        <v>2.4247999999999999E-2</v>
      </c>
      <c r="E137">
        <v>30.05</v>
      </c>
      <c r="F137">
        <v>1</v>
      </c>
      <c r="G137">
        <v>0.111380852758884</v>
      </c>
      <c r="H137">
        <v>561.68849755454596</v>
      </c>
      <c r="I137">
        <v>89.262181386174007</v>
      </c>
      <c r="K137">
        <v>0.11334756761789321</v>
      </c>
      <c r="L137" s="2">
        <f t="shared" ref="L137:L200" si="6">(K137-G137)/G137*100</f>
        <v>1.7657566900360582</v>
      </c>
      <c r="N137">
        <v>92.455108642578125</v>
      </c>
      <c r="O137">
        <v>555.877685546875</v>
      </c>
      <c r="P137" s="2">
        <f t="shared" ref="P137:P200" si="7">(N137-I137)/I137*100</f>
        <v>3.5770213172257037</v>
      </c>
      <c r="Q137" s="2">
        <f t="shared" ref="Q137:Q200" si="8">(O137-H137)/H137*100</f>
        <v>-1.0345257260865786</v>
      </c>
    </row>
    <row r="138" spans="1:17" x14ac:dyDescent="0.45">
      <c r="A138" t="s">
        <v>150</v>
      </c>
      <c r="B138">
        <v>67.2</v>
      </c>
      <c r="C138">
        <v>104.4</v>
      </c>
      <c r="D138">
        <v>1.8345E-2</v>
      </c>
      <c r="E138">
        <v>29.01</v>
      </c>
      <c r="F138">
        <v>1.03</v>
      </c>
      <c r="G138">
        <v>0.13617883622646301</v>
      </c>
      <c r="H138">
        <v>556.25479767037405</v>
      </c>
      <c r="I138">
        <v>67.944553917075993</v>
      </c>
      <c r="K138">
        <v>0.13753537833690641</v>
      </c>
      <c r="L138" s="2">
        <f t="shared" si="6"/>
        <v>0.99614752779021187</v>
      </c>
      <c r="N138">
        <v>69.274459838867188</v>
      </c>
      <c r="O138">
        <v>553.473388671875</v>
      </c>
      <c r="P138" s="2">
        <f t="shared" si="7"/>
        <v>1.9573399855039146</v>
      </c>
      <c r="Q138" s="2">
        <f t="shared" si="8"/>
        <v>-0.50002427127779236</v>
      </c>
    </row>
    <row r="139" spans="1:17" x14ac:dyDescent="0.45">
      <c r="A139" t="s">
        <v>151</v>
      </c>
      <c r="B139">
        <v>78.900000000000006</v>
      </c>
      <c r="C139">
        <v>116.9</v>
      </c>
      <c r="D139">
        <v>2.1283E-2</v>
      </c>
      <c r="E139">
        <v>28.81</v>
      </c>
      <c r="F139">
        <v>1</v>
      </c>
      <c r="G139">
        <v>0.104868128895759</v>
      </c>
      <c r="H139">
        <v>552.66153667950402</v>
      </c>
      <c r="I139">
        <v>79.885149294217996</v>
      </c>
      <c r="K139">
        <v>0.1050941720604897</v>
      </c>
      <c r="L139" s="2">
        <f t="shared" si="6"/>
        <v>0.21554991693938574</v>
      </c>
      <c r="N139">
        <v>80.339073181152344</v>
      </c>
      <c r="O139">
        <v>551.23651123046875</v>
      </c>
      <c r="P139" s="2">
        <f t="shared" si="7"/>
        <v>0.5682206154019197</v>
      </c>
      <c r="Q139" s="2">
        <f t="shared" si="8"/>
        <v>-0.25784777019169802</v>
      </c>
    </row>
    <row r="140" spans="1:17" x14ac:dyDescent="0.45">
      <c r="A140" t="s">
        <v>152</v>
      </c>
      <c r="B140">
        <v>43.8</v>
      </c>
      <c r="C140">
        <v>119.3</v>
      </c>
      <c r="D140">
        <v>6.3610000000000003E-3</v>
      </c>
      <c r="E140">
        <v>20</v>
      </c>
      <c r="F140">
        <v>1</v>
      </c>
      <c r="G140">
        <v>3.1869582831859498E-2</v>
      </c>
      <c r="H140">
        <v>500.71475364724802</v>
      </c>
      <c r="I140">
        <v>33.174545428650802</v>
      </c>
      <c r="K140">
        <v>3.0443955212831501E-2</v>
      </c>
      <c r="L140" s="2">
        <f t="shared" si="6"/>
        <v>-4.4733174781403831</v>
      </c>
      <c r="N140">
        <v>31.511823654174801</v>
      </c>
      <c r="O140">
        <v>496.66744995117188</v>
      </c>
      <c r="P140" s="2">
        <f t="shared" si="7"/>
        <v>-5.0120408674537886</v>
      </c>
      <c r="Q140" s="2">
        <f t="shared" si="8"/>
        <v>-0.80830526094852295</v>
      </c>
    </row>
    <row r="141" spans="1:17" x14ac:dyDescent="0.45">
      <c r="A141" t="s">
        <v>153</v>
      </c>
      <c r="B141">
        <v>44.6</v>
      </c>
      <c r="C141">
        <v>105.4</v>
      </c>
      <c r="D141">
        <v>9.2809999999999993E-3</v>
      </c>
      <c r="E141">
        <v>28.1</v>
      </c>
      <c r="F141">
        <v>1</v>
      </c>
      <c r="G141">
        <v>6.5748222172260201E-2</v>
      </c>
      <c r="H141">
        <v>545.37433222676498</v>
      </c>
      <c r="I141">
        <v>34.891567314625298</v>
      </c>
      <c r="K141">
        <v>7.3103398084640503E-2</v>
      </c>
      <c r="L141" s="2">
        <f t="shared" si="6"/>
        <v>11.186881818811399</v>
      </c>
      <c r="N141">
        <v>34.470386505126953</v>
      </c>
      <c r="O141">
        <v>538.21051025390625</v>
      </c>
      <c r="P141" s="2">
        <f t="shared" si="7"/>
        <v>-1.2071134715745526</v>
      </c>
      <c r="Q141" s="2">
        <f t="shared" si="8"/>
        <v>-1.3135605307292006</v>
      </c>
    </row>
    <row r="142" spans="1:17" x14ac:dyDescent="0.45">
      <c r="A142" t="s">
        <v>154</v>
      </c>
      <c r="B142">
        <v>71</v>
      </c>
      <c r="C142">
        <v>113.8</v>
      </c>
      <c r="D142">
        <v>1.7901E-2</v>
      </c>
      <c r="E142">
        <v>27.1</v>
      </c>
      <c r="F142">
        <v>1.07</v>
      </c>
      <c r="G142">
        <v>9.5173656940460205E-2</v>
      </c>
      <c r="H142">
        <v>553.67969926161095</v>
      </c>
      <c r="I142">
        <v>71.344999838696694</v>
      </c>
      <c r="K142">
        <v>9.4850949943065643E-2</v>
      </c>
      <c r="L142" s="2">
        <f t="shared" si="6"/>
        <v>-0.33907176394035632</v>
      </c>
      <c r="N142">
        <v>71.436363220214844</v>
      </c>
      <c r="O142">
        <v>553.0572509765625</v>
      </c>
      <c r="P142" s="2">
        <f t="shared" si="7"/>
        <v>0.1280585629332294</v>
      </c>
      <c r="Q142" s="2">
        <f t="shared" si="8"/>
        <v>-0.11242028304063671</v>
      </c>
    </row>
    <row r="143" spans="1:17" x14ac:dyDescent="0.45">
      <c r="A143" t="s">
        <v>155</v>
      </c>
      <c r="B143">
        <v>48</v>
      </c>
      <c r="C143">
        <v>105.5</v>
      </c>
      <c r="D143">
        <v>9.7280000000000005E-3</v>
      </c>
      <c r="E143">
        <v>25.4</v>
      </c>
      <c r="F143">
        <v>1</v>
      </c>
      <c r="G143">
        <v>6.9299086928367601E-2</v>
      </c>
      <c r="H143">
        <v>529.19234908999397</v>
      </c>
      <c r="I143">
        <v>39.733883364094901</v>
      </c>
      <c r="K143">
        <v>7.0823349058628082E-2</v>
      </c>
      <c r="L143" s="2">
        <f t="shared" si="6"/>
        <v>2.1995414338374557</v>
      </c>
      <c r="N143">
        <v>38.646438598632813</v>
      </c>
      <c r="O143">
        <v>526.408935546875</v>
      </c>
      <c r="P143" s="2">
        <f t="shared" si="7"/>
        <v>-2.7368197452473169</v>
      </c>
      <c r="Q143" s="2">
        <f t="shared" si="8"/>
        <v>-0.52597388225762565</v>
      </c>
    </row>
    <row r="144" spans="1:17" x14ac:dyDescent="0.45">
      <c r="A144" t="s">
        <v>156</v>
      </c>
      <c r="B144">
        <v>54.6</v>
      </c>
      <c r="C144">
        <v>130</v>
      </c>
      <c r="D144">
        <v>1.1983000000000001E-2</v>
      </c>
      <c r="E144">
        <v>31.83</v>
      </c>
      <c r="F144">
        <v>1.1000000000000001</v>
      </c>
      <c r="G144">
        <v>5.0925031304359401E-2</v>
      </c>
      <c r="H144">
        <v>598.07278054879998</v>
      </c>
      <c r="I144">
        <v>44.490847978505897</v>
      </c>
      <c r="K144">
        <v>5.7213470339775092E-2</v>
      </c>
      <c r="L144" s="2">
        <f t="shared" si="6"/>
        <v>12.348424486638212</v>
      </c>
      <c r="N144">
        <v>45.274616241455078</v>
      </c>
      <c r="O144">
        <v>588.64984130859375</v>
      </c>
      <c r="P144" s="2">
        <f t="shared" si="7"/>
        <v>1.7616393001271393</v>
      </c>
      <c r="Q144" s="2">
        <f t="shared" si="8"/>
        <v>-1.5755505929495088</v>
      </c>
    </row>
    <row r="145" spans="1:17" x14ac:dyDescent="0.45">
      <c r="A145" t="s">
        <v>157</v>
      </c>
      <c r="B145">
        <v>46.3</v>
      </c>
      <c r="C145">
        <v>112.5</v>
      </c>
      <c r="D145">
        <v>7.3400000000000002E-3</v>
      </c>
      <c r="E145">
        <v>20</v>
      </c>
      <c r="F145">
        <v>1</v>
      </c>
      <c r="G145">
        <v>4.2151540517807E-2</v>
      </c>
      <c r="H145">
        <v>498.39974859616598</v>
      </c>
      <c r="I145">
        <v>37.605690396813898</v>
      </c>
      <c r="K145">
        <v>4.2861700057983398E-2</v>
      </c>
      <c r="L145" s="2">
        <f t="shared" si="6"/>
        <v>1.6847771907088194</v>
      </c>
      <c r="N145">
        <v>33.709255218505859</v>
      </c>
      <c r="O145">
        <v>496.43325805664063</v>
      </c>
      <c r="P145" s="2">
        <f t="shared" si="7"/>
        <v>-10.361291435399787</v>
      </c>
      <c r="Q145" s="2">
        <f t="shared" si="8"/>
        <v>-0.39456090117708381</v>
      </c>
    </row>
    <row r="146" spans="1:17" x14ac:dyDescent="0.45">
      <c r="A146" t="s">
        <v>158</v>
      </c>
      <c r="B146">
        <v>59.4</v>
      </c>
      <c r="C146">
        <v>109.9</v>
      </c>
      <c r="D146">
        <v>1.3722E-2</v>
      </c>
      <c r="E146">
        <v>26.11</v>
      </c>
      <c r="F146">
        <v>1</v>
      </c>
      <c r="G146">
        <v>8.1930279731750405E-2</v>
      </c>
      <c r="H146">
        <v>534.37976633225901</v>
      </c>
      <c r="I146">
        <v>55.237548848748503</v>
      </c>
      <c r="K146">
        <v>8.3206571638584137E-2</v>
      </c>
      <c r="L146" s="2">
        <f t="shared" si="6"/>
        <v>1.557778041296167</v>
      </c>
      <c r="N146">
        <v>54.857334136962891</v>
      </c>
      <c r="O146">
        <v>535.2938232421875</v>
      </c>
      <c r="P146" s="2">
        <f t="shared" si="7"/>
        <v>-0.68832654545681682</v>
      </c>
      <c r="Q146" s="2">
        <f t="shared" si="8"/>
        <v>0.1710500598108651</v>
      </c>
    </row>
    <row r="147" spans="1:17" x14ac:dyDescent="0.45">
      <c r="A147" t="s">
        <v>159</v>
      </c>
      <c r="B147">
        <v>74.599999999999994</v>
      </c>
      <c r="C147">
        <v>122.1</v>
      </c>
      <c r="D147">
        <v>1.4279999999999999E-2</v>
      </c>
      <c r="E147">
        <v>20</v>
      </c>
      <c r="F147">
        <v>1</v>
      </c>
      <c r="G147">
        <v>6.8952597677707603E-2</v>
      </c>
      <c r="H147">
        <v>501.93046377432302</v>
      </c>
      <c r="I147">
        <v>75.652343689832307</v>
      </c>
      <c r="K147">
        <v>7.1218676865100861E-2</v>
      </c>
      <c r="L147" s="2">
        <f t="shared" si="6"/>
        <v>3.2864304808140421</v>
      </c>
      <c r="N147">
        <v>75.367347717285156</v>
      </c>
      <c r="O147">
        <v>489.22161865234381</v>
      </c>
      <c r="P147" s="2">
        <f t="shared" si="7"/>
        <v>-0.37671796886506009</v>
      </c>
      <c r="Q147" s="2">
        <f t="shared" si="8"/>
        <v>-2.5319931821658339</v>
      </c>
    </row>
    <row r="148" spans="1:17" x14ac:dyDescent="0.45">
      <c r="A148" t="s">
        <v>160</v>
      </c>
      <c r="B148">
        <v>77.3</v>
      </c>
      <c r="C148">
        <v>113.6</v>
      </c>
      <c r="D148">
        <v>2.2572999999999999E-2</v>
      </c>
      <c r="E148">
        <v>31.15</v>
      </c>
      <c r="F148">
        <v>1</v>
      </c>
      <c r="G148">
        <v>0.1182302236557</v>
      </c>
      <c r="H148">
        <v>565.61938254716199</v>
      </c>
      <c r="I148">
        <v>78.496156871870397</v>
      </c>
      <c r="K148">
        <v>0.12388920783996581</v>
      </c>
      <c r="L148" s="2">
        <f t="shared" si="6"/>
        <v>4.7864107918339176</v>
      </c>
      <c r="N148">
        <v>77.054374694824219</v>
      </c>
      <c r="O148">
        <v>567.807373046875</v>
      </c>
      <c r="P148" s="2">
        <f t="shared" si="7"/>
        <v>-1.8367551157945292</v>
      </c>
      <c r="Q148" s="2">
        <f t="shared" si="8"/>
        <v>0.38683089144855687</v>
      </c>
    </row>
    <row r="149" spans="1:17" x14ac:dyDescent="0.45">
      <c r="A149" t="s">
        <v>161</v>
      </c>
      <c r="B149">
        <v>50.5</v>
      </c>
      <c r="C149">
        <v>130</v>
      </c>
      <c r="D149">
        <v>9.7269999999999995E-3</v>
      </c>
      <c r="E149">
        <v>28.69</v>
      </c>
      <c r="F149">
        <v>1</v>
      </c>
      <c r="G149">
        <v>4.1914805769920301E-2</v>
      </c>
      <c r="H149">
        <v>558.56829180160298</v>
      </c>
      <c r="I149">
        <v>38.424816574955003</v>
      </c>
      <c r="K149">
        <v>4.7594543546438217E-2</v>
      </c>
      <c r="L149" s="2">
        <f t="shared" si="6"/>
        <v>13.550671826311833</v>
      </c>
      <c r="N149">
        <v>37.856124877929688</v>
      </c>
      <c r="O149">
        <v>548.11199951171875</v>
      </c>
      <c r="P149" s="2">
        <f t="shared" si="7"/>
        <v>-1.4800114814236587</v>
      </c>
      <c r="Q149" s="2">
        <f t="shared" si="8"/>
        <v>-1.8719809991645902</v>
      </c>
    </row>
    <row r="150" spans="1:17" x14ac:dyDescent="0.45">
      <c r="A150" t="s">
        <v>162</v>
      </c>
      <c r="B150">
        <v>58.3</v>
      </c>
      <c r="C150">
        <v>113</v>
      </c>
      <c r="D150">
        <v>1.3328E-2</v>
      </c>
      <c r="E150">
        <v>26.65</v>
      </c>
      <c r="F150">
        <v>1</v>
      </c>
      <c r="G150">
        <v>7.2480790317058494E-2</v>
      </c>
      <c r="H150">
        <v>538.44260297223002</v>
      </c>
      <c r="I150">
        <v>52.8362348421348</v>
      </c>
      <c r="K150">
        <v>7.8790105879306793E-2</v>
      </c>
      <c r="L150" s="2">
        <f t="shared" si="6"/>
        <v>8.7048106603818169</v>
      </c>
      <c r="N150">
        <v>54.013240814208977</v>
      </c>
      <c r="O150">
        <v>538.5694580078125</v>
      </c>
      <c r="P150" s="2">
        <f t="shared" si="7"/>
        <v>2.2276492176076887</v>
      </c>
      <c r="Q150" s="2">
        <f t="shared" si="8"/>
        <v>2.3559620817935636E-2</v>
      </c>
    </row>
    <row r="151" spans="1:17" x14ac:dyDescent="0.45">
      <c r="A151" t="s">
        <v>163</v>
      </c>
      <c r="B151">
        <v>73</v>
      </c>
      <c r="C151">
        <v>122.7</v>
      </c>
      <c r="D151">
        <v>1.9043999999999998E-2</v>
      </c>
      <c r="E151">
        <v>30.33</v>
      </c>
      <c r="F151">
        <v>1</v>
      </c>
      <c r="G151">
        <v>8.5535638034343706E-2</v>
      </c>
      <c r="H151">
        <v>564.19382991590601</v>
      </c>
      <c r="I151">
        <v>69.899281688736593</v>
      </c>
      <c r="K151">
        <v>9.0293809771537781E-2</v>
      </c>
      <c r="L151" s="2">
        <f t="shared" si="6"/>
        <v>5.5627944638509685</v>
      </c>
      <c r="N151">
        <v>70.129837036132813</v>
      </c>
      <c r="O151">
        <v>555.9879150390625</v>
      </c>
      <c r="P151" s="2">
        <f t="shared" si="7"/>
        <v>0.32983936576471334</v>
      </c>
      <c r="Q151" s="2">
        <f t="shared" si="8"/>
        <v>-1.4544495954637811</v>
      </c>
    </row>
    <row r="152" spans="1:17" x14ac:dyDescent="0.45">
      <c r="A152" t="s">
        <v>164</v>
      </c>
      <c r="B152">
        <v>59.4</v>
      </c>
      <c r="C152">
        <v>130</v>
      </c>
      <c r="D152">
        <v>1.3457999999999999E-2</v>
      </c>
      <c r="E152">
        <v>31.28</v>
      </c>
      <c r="F152">
        <v>1</v>
      </c>
      <c r="G152">
        <v>5.7287685573101002E-2</v>
      </c>
      <c r="H152">
        <v>574.10829180160295</v>
      </c>
      <c r="I152">
        <v>49.016815187098999</v>
      </c>
      <c r="K152">
        <v>6.648360937833786E-2</v>
      </c>
      <c r="L152" s="2">
        <f t="shared" si="6"/>
        <v>16.052182442424826</v>
      </c>
      <c r="N152">
        <v>51.052978515625</v>
      </c>
      <c r="O152">
        <v>561.4241943359375</v>
      </c>
      <c r="P152" s="2">
        <f t="shared" si="7"/>
        <v>4.1540098448948397</v>
      </c>
      <c r="Q152" s="2">
        <f t="shared" si="8"/>
        <v>-2.2093562567893974</v>
      </c>
    </row>
    <row r="153" spans="1:17" x14ac:dyDescent="0.45">
      <c r="A153" t="s">
        <v>165</v>
      </c>
      <c r="B153">
        <v>71.2</v>
      </c>
      <c r="C153">
        <v>122.4</v>
      </c>
      <c r="D153">
        <v>1.8412999999999999E-2</v>
      </c>
      <c r="E153">
        <v>30.26</v>
      </c>
      <c r="F153">
        <v>1</v>
      </c>
      <c r="G153">
        <v>8.3001233637332902E-2</v>
      </c>
      <c r="H153">
        <v>563.63109157616998</v>
      </c>
      <c r="I153">
        <v>67.648932503432505</v>
      </c>
      <c r="K153">
        <v>8.8192664086818695E-2</v>
      </c>
      <c r="L153" s="2">
        <f t="shared" si="6"/>
        <v>6.2546425179284961</v>
      </c>
      <c r="N153">
        <v>67.618179321289063</v>
      </c>
      <c r="O153">
        <v>555.00531005859375</v>
      </c>
      <c r="P153" s="2">
        <f t="shared" si="7"/>
        <v>-4.5459966632706204E-2</v>
      </c>
      <c r="Q153" s="2">
        <f t="shared" si="8"/>
        <v>-1.5303949066142897</v>
      </c>
    </row>
    <row r="154" spans="1:17" x14ac:dyDescent="0.45">
      <c r="A154" t="s">
        <v>166</v>
      </c>
      <c r="B154">
        <v>55.8</v>
      </c>
      <c r="C154">
        <v>113.9</v>
      </c>
      <c r="D154">
        <v>1.4546999999999999E-2</v>
      </c>
      <c r="E154">
        <v>32.43</v>
      </c>
      <c r="F154">
        <v>1</v>
      </c>
      <c r="G154">
        <v>7.5265496969222995E-2</v>
      </c>
      <c r="H154">
        <v>573.38999718136597</v>
      </c>
      <c r="I154">
        <v>48.576309600705201</v>
      </c>
      <c r="K154">
        <v>7.8497089445590973E-2</v>
      </c>
      <c r="L154" s="2">
        <f t="shared" si="6"/>
        <v>4.2935908304563739</v>
      </c>
      <c r="N154">
        <v>50.160419464111328</v>
      </c>
      <c r="O154">
        <v>572.53094482421875</v>
      </c>
      <c r="P154" s="2">
        <f t="shared" si="7"/>
        <v>3.2610749487300077</v>
      </c>
      <c r="Q154" s="2">
        <f t="shared" si="8"/>
        <v>-0.14981990641101087</v>
      </c>
    </row>
    <row r="155" spans="1:17" x14ac:dyDescent="0.45">
      <c r="A155" t="s">
        <v>167</v>
      </c>
      <c r="B155">
        <v>82.9</v>
      </c>
      <c r="C155">
        <v>122.2</v>
      </c>
      <c r="D155">
        <v>1.9243E-2</v>
      </c>
      <c r="E155">
        <v>24.63</v>
      </c>
      <c r="F155">
        <v>1</v>
      </c>
      <c r="G155">
        <v>8.9731335639953599E-2</v>
      </c>
      <c r="H155">
        <v>529.75710697568798</v>
      </c>
      <c r="I155">
        <v>85.420276818220202</v>
      </c>
      <c r="K155">
        <v>9.6206963062286377E-2</v>
      </c>
      <c r="L155" s="2">
        <f t="shared" si="6"/>
        <v>7.2166845351730746</v>
      </c>
      <c r="N155">
        <v>85.630760192871094</v>
      </c>
      <c r="O155">
        <v>522.03839111328125</v>
      </c>
      <c r="P155" s="2">
        <f t="shared" si="7"/>
        <v>0.24640914603778877</v>
      </c>
      <c r="Q155" s="2">
        <f t="shared" si="8"/>
        <v>-1.4570292235382805</v>
      </c>
    </row>
    <row r="156" spans="1:17" x14ac:dyDescent="0.45">
      <c r="A156" t="s">
        <v>168</v>
      </c>
      <c r="B156">
        <v>54.7</v>
      </c>
      <c r="C156">
        <v>100</v>
      </c>
      <c r="D156">
        <v>1.3906999999999999E-2</v>
      </c>
      <c r="E156">
        <v>29.61</v>
      </c>
      <c r="F156">
        <v>1</v>
      </c>
      <c r="G156">
        <v>0.13718923926353399</v>
      </c>
      <c r="H156">
        <v>553.64898741352897</v>
      </c>
      <c r="I156">
        <v>50.645528117146398</v>
      </c>
      <c r="K156">
        <v>0.1245127841830254</v>
      </c>
      <c r="L156" s="2">
        <f t="shared" si="6"/>
        <v>-9.2401234590693537</v>
      </c>
      <c r="N156">
        <v>52.704113006591797</v>
      </c>
      <c r="O156">
        <v>552.57403564453125</v>
      </c>
      <c r="P156" s="2">
        <f t="shared" si="7"/>
        <v>4.064692315348668</v>
      </c>
      <c r="Q156" s="2">
        <f t="shared" si="8"/>
        <v>-0.19415763298322861</v>
      </c>
    </row>
    <row r="157" spans="1:17" x14ac:dyDescent="0.45">
      <c r="A157" t="s">
        <v>169</v>
      </c>
      <c r="B157">
        <v>44.4</v>
      </c>
      <c r="C157">
        <v>120.6</v>
      </c>
      <c r="D157">
        <v>6.4590000000000003E-3</v>
      </c>
      <c r="E157">
        <v>20</v>
      </c>
      <c r="F157">
        <v>1</v>
      </c>
      <c r="G157">
        <v>3.1768154352903297E-2</v>
      </c>
      <c r="H157">
        <v>501.25800750425901</v>
      </c>
      <c r="I157">
        <v>34.013053545839099</v>
      </c>
      <c r="K157">
        <v>3.043278306722641E-2</v>
      </c>
      <c r="L157" s="2">
        <f t="shared" si="6"/>
        <v>-4.2034902967375158</v>
      </c>
      <c r="N157">
        <v>32.953266143798828</v>
      </c>
      <c r="O157">
        <v>495.1959228515625</v>
      </c>
      <c r="P157" s="2">
        <f t="shared" si="7"/>
        <v>-3.115825518611568</v>
      </c>
      <c r="Q157" s="2">
        <f t="shared" si="8"/>
        <v>-1.2093741270846441</v>
      </c>
    </row>
    <row r="158" spans="1:17" x14ac:dyDescent="0.45">
      <c r="A158" t="s">
        <v>170</v>
      </c>
      <c r="B158">
        <v>74.8</v>
      </c>
      <c r="C158">
        <v>127.9</v>
      </c>
      <c r="D158">
        <v>1.6292000000000001E-2</v>
      </c>
      <c r="E158">
        <v>25.46</v>
      </c>
      <c r="F158">
        <v>1</v>
      </c>
      <c r="G158">
        <v>7.2110839188098894E-2</v>
      </c>
      <c r="H158">
        <v>537.81614375626395</v>
      </c>
      <c r="I158">
        <v>71.595510025712699</v>
      </c>
      <c r="K158">
        <v>7.9597122967243195E-2</v>
      </c>
      <c r="L158" s="2">
        <f t="shared" si="6"/>
        <v>10.3816345273927</v>
      </c>
      <c r="N158">
        <v>71.578544616699219</v>
      </c>
      <c r="O158">
        <v>529.74639892578125</v>
      </c>
      <c r="P158" s="2">
        <f t="shared" si="7"/>
        <v>-2.3696191293821275E-2</v>
      </c>
      <c r="Q158" s="2">
        <f t="shared" si="8"/>
        <v>-1.5004653400921113</v>
      </c>
    </row>
    <row r="159" spans="1:17" x14ac:dyDescent="0.45">
      <c r="A159" t="s">
        <v>171</v>
      </c>
      <c r="B159">
        <v>71.2</v>
      </c>
      <c r="C159">
        <v>108.9</v>
      </c>
      <c r="D159">
        <v>2.2832999999999999E-2</v>
      </c>
      <c r="E159">
        <v>35</v>
      </c>
      <c r="F159">
        <v>1</v>
      </c>
      <c r="G159">
        <v>0.13619609177112499</v>
      </c>
      <c r="H159">
        <v>587.485164232996</v>
      </c>
      <c r="I159">
        <v>70.299360191574706</v>
      </c>
      <c r="K159">
        <v>0.14302815496921539</v>
      </c>
      <c r="L159" s="2">
        <f t="shared" si="6"/>
        <v>5.0163430603952719</v>
      </c>
      <c r="N159">
        <v>72.241600036621094</v>
      </c>
      <c r="O159">
        <v>585.506591796875</v>
      </c>
      <c r="P159" s="2">
        <f t="shared" si="7"/>
        <v>2.7628129754716637</v>
      </c>
      <c r="Q159" s="2">
        <f t="shared" si="8"/>
        <v>-0.33678679166378045</v>
      </c>
    </row>
    <row r="160" spans="1:17" x14ac:dyDescent="0.45">
      <c r="A160" t="s">
        <v>172</v>
      </c>
      <c r="B160">
        <v>83</v>
      </c>
      <c r="C160">
        <v>111.8</v>
      </c>
      <c r="D160">
        <v>2.6110000000000001E-2</v>
      </c>
      <c r="E160">
        <v>32.700000000000003</v>
      </c>
      <c r="F160">
        <v>1.2</v>
      </c>
      <c r="G160">
        <v>0.14271183311939201</v>
      </c>
      <c r="H160">
        <v>616.23128815464804</v>
      </c>
      <c r="I160">
        <v>90.126071650067701</v>
      </c>
      <c r="K160">
        <v>0.1560538709163666</v>
      </c>
      <c r="L160" s="2">
        <f t="shared" si="6"/>
        <v>9.3489358978471788</v>
      </c>
      <c r="N160">
        <v>89.774055480957031</v>
      </c>
      <c r="O160">
        <v>612.734375</v>
      </c>
      <c r="P160" s="2">
        <f t="shared" si="7"/>
        <v>-0.39058195111115213</v>
      </c>
      <c r="Q160" s="2">
        <f t="shared" si="8"/>
        <v>-0.56746764110595826</v>
      </c>
    </row>
    <row r="161" spans="1:17" x14ac:dyDescent="0.45">
      <c r="A161" t="s">
        <v>173</v>
      </c>
      <c r="B161">
        <v>78.5</v>
      </c>
      <c r="C161">
        <v>113.8</v>
      </c>
      <c r="D161">
        <v>2.5357000000000001E-2</v>
      </c>
      <c r="E161">
        <v>35</v>
      </c>
      <c r="F161">
        <v>1</v>
      </c>
      <c r="G161">
        <v>0.13019944727420801</v>
      </c>
      <c r="H161">
        <v>588.77962600710998</v>
      </c>
      <c r="I161">
        <v>79.191952287772395</v>
      </c>
      <c r="K161">
        <v>0.13677288591861719</v>
      </c>
      <c r="L161" s="2">
        <f t="shared" si="6"/>
        <v>5.0487454302053338</v>
      </c>
      <c r="N161">
        <v>80.363182067871094</v>
      </c>
      <c r="O161">
        <v>585.82891845703125</v>
      </c>
      <c r="P161" s="2">
        <f t="shared" si="7"/>
        <v>1.4789757623888533</v>
      </c>
      <c r="Q161" s="2">
        <f t="shared" si="8"/>
        <v>-0.50115653119476322</v>
      </c>
    </row>
    <row r="162" spans="1:17" x14ac:dyDescent="0.45">
      <c r="A162" t="s">
        <v>174</v>
      </c>
      <c r="B162">
        <v>75.5</v>
      </c>
      <c r="C162">
        <v>130</v>
      </c>
      <c r="D162">
        <v>1.349E-2</v>
      </c>
      <c r="E162">
        <v>20</v>
      </c>
      <c r="F162">
        <v>1</v>
      </c>
      <c r="G162">
        <v>6.1368070542812299E-2</v>
      </c>
      <c r="H162">
        <v>506.428291801603</v>
      </c>
      <c r="I162">
        <v>73.804250189967902</v>
      </c>
      <c r="K162">
        <v>6.5959326922893524E-2</v>
      </c>
      <c r="L162" s="2">
        <f t="shared" si="6"/>
        <v>7.4815068153042548</v>
      </c>
      <c r="N162">
        <v>74.774681091308594</v>
      </c>
      <c r="O162">
        <v>490.43167114257813</v>
      </c>
      <c r="P162" s="2">
        <f t="shared" si="7"/>
        <v>1.3148712964942506</v>
      </c>
      <c r="Q162" s="2">
        <f t="shared" si="8"/>
        <v>-3.1587138629473857</v>
      </c>
    </row>
    <row r="163" spans="1:17" x14ac:dyDescent="0.45">
      <c r="A163" t="s">
        <v>175</v>
      </c>
      <c r="B163">
        <v>47.5</v>
      </c>
      <c r="C163">
        <v>107.2</v>
      </c>
      <c r="D163">
        <v>9.1660000000000005E-3</v>
      </c>
      <c r="E163">
        <v>24.32</v>
      </c>
      <c r="F163">
        <v>1</v>
      </c>
      <c r="G163">
        <v>6.09244704246521E-2</v>
      </c>
      <c r="H163">
        <v>523.03897998859804</v>
      </c>
      <c r="I163">
        <v>39.127023045317003</v>
      </c>
      <c r="K163">
        <v>6.289355456829071E-2</v>
      </c>
      <c r="L163" s="2">
        <f t="shared" si="6"/>
        <v>3.2320086328429589</v>
      </c>
      <c r="N163">
        <v>37.291355133056641</v>
      </c>
      <c r="O163">
        <v>521.580810546875</v>
      </c>
      <c r="P163" s="2">
        <f t="shared" si="7"/>
        <v>-4.6915603830485333</v>
      </c>
      <c r="Q163" s="2">
        <f t="shared" si="8"/>
        <v>-0.27878791017733151</v>
      </c>
    </row>
    <row r="164" spans="1:17" x14ac:dyDescent="0.45">
      <c r="A164" t="s">
        <v>176</v>
      </c>
      <c r="B164">
        <v>84.9</v>
      </c>
      <c r="C164">
        <v>130</v>
      </c>
      <c r="D164">
        <v>2.2502000000000001E-2</v>
      </c>
      <c r="E164">
        <v>31.87</v>
      </c>
      <c r="F164">
        <v>1</v>
      </c>
      <c r="G164">
        <v>9.5542907714843694E-2</v>
      </c>
      <c r="H164">
        <v>577.648291801602</v>
      </c>
      <c r="I164">
        <v>81.152807797474296</v>
      </c>
      <c r="K164">
        <v>0.10238122940063479</v>
      </c>
      <c r="L164" s="2">
        <f t="shared" si="6"/>
        <v>7.1573305118582713</v>
      </c>
      <c r="N164">
        <v>83.854942321777344</v>
      </c>
      <c r="O164">
        <v>567.02423095703125</v>
      </c>
      <c r="P164" s="2">
        <f t="shared" si="7"/>
        <v>3.3296870405846217</v>
      </c>
      <c r="Q164" s="2">
        <f t="shared" si="8"/>
        <v>-1.8391919434983233</v>
      </c>
    </row>
    <row r="165" spans="1:17" x14ac:dyDescent="0.45">
      <c r="A165" t="s">
        <v>177</v>
      </c>
      <c r="B165">
        <v>54.1</v>
      </c>
      <c r="C165">
        <v>108.8</v>
      </c>
      <c r="D165">
        <v>1.1880999999999999E-2</v>
      </c>
      <c r="E165">
        <v>25.94</v>
      </c>
      <c r="F165">
        <v>1</v>
      </c>
      <c r="G165">
        <v>7.3720000684261294E-2</v>
      </c>
      <c r="H165">
        <v>533.10249764419802</v>
      </c>
      <c r="I165">
        <v>47.625773779615599</v>
      </c>
      <c r="K165">
        <v>7.501741498708725E-2</v>
      </c>
      <c r="L165" s="2">
        <f t="shared" si="6"/>
        <v>1.7599217183715308</v>
      </c>
      <c r="N165">
        <v>47.355106353759773</v>
      </c>
      <c r="O165">
        <v>534.25323486328125</v>
      </c>
      <c r="P165" s="2">
        <f t="shared" si="7"/>
        <v>-0.56832131926783624</v>
      </c>
      <c r="Q165" s="2">
        <f t="shared" si="8"/>
        <v>0.21585665499005932</v>
      </c>
    </row>
    <row r="166" spans="1:17" x14ac:dyDescent="0.45">
      <c r="A166" t="s">
        <v>178</v>
      </c>
      <c r="B166">
        <v>41.8</v>
      </c>
      <c r="C166">
        <v>114.7</v>
      </c>
      <c r="D166">
        <v>6.0070000000000002E-3</v>
      </c>
      <c r="E166">
        <v>20</v>
      </c>
      <c r="F166">
        <v>1</v>
      </c>
      <c r="G166">
        <v>3.2738998532295199E-2</v>
      </c>
      <c r="H166">
        <v>499.05902945413902</v>
      </c>
      <c r="I166">
        <v>30.796991063995399</v>
      </c>
      <c r="K166">
        <v>3.2838225364685059E-2</v>
      </c>
      <c r="L166" s="2">
        <f t="shared" si="6"/>
        <v>0.30308450727952951</v>
      </c>
      <c r="N166">
        <v>27.678205490112301</v>
      </c>
      <c r="O166">
        <v>495.67721557617188</v>
      </c>
      <c r="P166" s="2">
        <f t="shared" si="7"/>
        <v>-10.126916514026767</v>
      </c>
      <c r="Q166" s="2">
        <f t="shared" si="8"/>
        <v>-0.67763805048595327</v>
      </c>
    </row>
    <row r="167" spans="1:17" x14ac:dyDescent="0.45">
      <c r="A167" t="s">
        <v>179</v>
      </c>
      <c r="B167">
        <v>55.3</v>
      </c>
      <c r="C167">
        <v>126.7</v>
      </c>
      <c r="D167">
        <v>1.0488000000000001E-2</v>
      </c>
      <c r="E167">
        <v>25.03</v>
      </c>
      <c r="F167">
        <v>1</v>
      </c>
      <c r="G167">
        <v>4.6860866248607601E-2</v>
      </c>
      <c r="H167">
        <v>534.51397059512703</v>
      </c>
      <c r="I167">
        <v>46.609978037998196</v>
      </c>
      <c r="K167">
        <v>5.18038310110569E-2</v>
      </c>
      <c r="L167" s="2">
        <f t="shared" si="6"/>
        <v>10.548171978353412</v>
      </c>
      <c r="N167">
        <v>47.610389709472663</v>
      </c>
      <c r="O167">
        <v>524.8953857421875</v>
      </c>
      <c r="P167" s="2">
        <f t="shared" si="7"/>
        <v>2.1463465841131568</v>
      </c>
      <c r="Q167" s="2">
        <f t="shared" si="8"/>
        <v>-1.7995011135499821</v>
      </c>
    </row>
    <row r="168" spans="1:17" x14ac:dyDescent="0.45">
      <c r="A168" t="s">
        <v>180</v>
      </c>
      <c r="B168">
        <v>53</v>
      </c>
      <c r="C168">
        <v>118.3</v>
      </c>
      <c r="D168">
        <v>1.0271000000000001E-2</v>
      </c>
      <c r="E168">
        <v>24.2</v>
      </c>
      <c r="F168">
        <v>1</v>
      </c>
      <c r="G168">
        <v>5.0711240619420998E-2</v>
      </c>
      <c r="H168">
        <v>525.520541305091</v>
      </c>
      <c r="I168">
        <v>45.372367517527302</v>
      </c>
      <c r="K168">
        <v>5.7226572185754783E-2</v>
      </c>
      <c r="L168" s="2">
        <f t="shared" si="6"/>
        <v>12.847904107158826</v>
      </c>
      <c r="N168">
        <v>45.538043975830078</v>
      </c>
      <c r="O168">
        <v>519.69970703125</v>
      </c>
      <c r="P168" s="2">
        <f t="shared" si="7"/>
        <v>0.36514836533221656</v>
      </c>
      <c r="Q168" s="2">
        <f t="shared" si="8"/>
        <v>-1.1076321126069388</v>
      </c>
    </row>
    <row r="169" spans="1:17" x14ac:dyDescent="0.45">
      <c r="A169" t="s">
        <v>181</v>
      </c>
      <c r="B169">
        <v>83.4</v>
      </c>
      <c r="C169">
        <v>100</v>
      </c>
      <c r="D169">
        <v>2.9249000000000001E-2</v>
      </c>
      <c r="E169">
        <v>35</v>
      </c>
      <c r="F169">
        <v>1</v>
      </c>
      <c r="G169">
        <v>0.28661376237869202</v>
      </c>
      <c r="H169">
        <v>585.98898741352798</v>
      </c>
      <c r="I169">
        <v>91.703147257469297</v>
      </c>
      <c r="K169">
        <v>0.25041332840919489</v>
      </c>
      <c r="L169" s="2">
        <f t="shared" si="6"/>
        <v>-12.630389297798914</v>
      </c>
      <c r="N169">
        <v>96.195068359375</v>
      </c>
      <c r="O169">
        <v>588.85400390625</v>
      </c>
      <c r="P169" s="2">
        <f t="shared" si="7"/>
        <v>4.8983281776513214</v>
      </c>
      <c r="Q169" s="2">
        <f t="shared" si="8"/>
        <v>0.48891985246476993</v>
      </c>
    </row>
    <row r="170" spans="1:17" x14ac:dyDescent="0.45">
      <c r="A170" t="s">
        <v>182</v>
      </c>
      <c r="B170">
        <v>59.2</v>
      </c>
      <c r="C170">
        <v>105.8</v>
      </c>
      <c r="D170">
        <v>1.7734E-2</v>
      </c>
      <c r="E170">
        <v>35</v>
      </c>
      <c r="F170">
        <v>1</v>
      </c>
      <c r="G170">
        <v>0.120556898415088</v>
      </c>
      <c r="H170">
        <v>586.84718872675899</v>
      </c>
      <c r="I170">
        <v>55.470371092700802</v>
      </c>
      <c r="K170">
        <v>0.1234344244003296</v>
      </c>
      <c r="L170" s="2">
        <f t="shared" si="6"/>
        <v>2.3868613269512187</v>
      </c>
      <c r="N170">
        <v>54.673416137695313</v>
      </c>
      <c r="O170">
        <v>591.27862548828125</v>
      </c>
      <c r="P170" s="2">
        <f t="shared" si="7"/>
        <v>-1.4367218738696312</v>
      </c>
      <c r="Q170" s="2">
        <f t="shared" si="8"/>
        <v>0.75512618048607161</v>
      </c>
    </row>
    <row r="171" spans="1:17" x14ac:dyDescent="0.45">
      <c r="A171" t="s">
        <v>183</v>
      </c>
      <c r="B171">
        <v>56.8</v>
      </c>
      <c r="C171">
        <v>126</v>
      </c>
      <c r="D171">
        <v>1.0326999999999999E-2</v>
      </c>
      <c r="E171">
        <v>23.02</v>
      </c>
      <c r="F171">
        <v>1</v>
      </c>
      <c r="G171">
        <v>4.6983376145362798E-2</v>
      </c>
      <c r="H171">
        <v>522.05207657563199</v>
      </c>
      <c r="I171">
        <v>49.086698829453802</v>
      </c>
      <c r="K171">
        <v>4.9733053892850883E-2</v>
      </c>
      <c r="L171" s="2">
        <f t="shared" si="6"/>
        <v>5.8524481914215825</v>
      </c>
      <c r="N171">
        <v>50.116626739501953</v>
      </c>
      <c r="O171">
        <v>512.51214599609375</v>
      </c>
      <c r="P171" s="2">
        <f t="shared" si="7"/>
        <v>2.0981812478906345</v>
      </c>
      <c r="Q171" s="2">
        <f t="shared" si="8"/>
        <v>-1.8273906009750627</v>
      </c>
    </row>
    <row r="172" spans="1:17" x14ac:dyDescent="0.45">
      <c r="A172" t="s">
        <v>184</v>
      </c>
      <c r="B172">
        <v>52.3</v>
      </c>
      <c r="C172">
        <v>107.6</v>
      </c>
      <c r="D172">
        <v>1.4496E-2</v>
      </c>
      <c r="E172">
        <v>35</v>
      </c>
      <c r="F172">
        <v>1</v>
      </c>
      <c r="G172">
        <v>9.0973414480686104E-2</v>
      </c>
      <c r="H172">
        <v>587.20151908115702</v>
      </c>
      <c r="I172">
        <v>44.9606932796218</v>
      </c>
      <c r="K172">
        <v>9.6248418092727661E-2</v>
      </c>
      <c r="L172" s="2">
        <f t="shared" si="6"/>
        <v>5.7984012605808637</v>
      </c>
      <c r="N172">
        <v>43.452800750732422</v>
      </c>
      <c r="O172">
        <v>590.13232421875</v>
      </c>
      <c r="P172" s="2">
        <f t="shared" si="7"/>
        <v>-3.3538017741661976</v>
      </c>
      <c r="Q172" s="2">
        <f t="shared" si="8"/>
        <v>0.49911402514405234</v>
      </c>
    </row>
    <row r="173" spans="1:17" x14ac:dyDescent="0.45">
      <c r="A173" t="s">
        <v>185</v>
      </c>
      <c r="B173">
        <v>44.7</v>
      </c>
      <c r="C173">
        <v>116.3</v>
      </c>
      <c r="D173">
        <v>6.7369999999999999E-3</v>
      </c>
      <c r="E173">
        <v>20</v>
      </c>
      <c r="F173">
        <v>1</v>
      </c>
      <c r="G173">
        <v>3.5541914403438499E-2</v>
      </c>
      <c r="H173">
        <v>499.59040006269601</v>
      </c>
      <c r="I173">
        <v>34.831897910931097</v>
      </c>
      <c r="K173">
        <v>3.4937743097543723E-2</v>
      </c>
      <c r="L173" s="2">
        <f t="shared" si="6"/>
        <v>-1.699883970899229</v>
      </c>
      <c r="N173">
        <v>31.850656509399411</v>
      </c>
      <c r="O173">
        <v>497.797119140625</v>
      </c>
      <c r="P173" s="2">
        <f t="shared" si="7"/>
        <v>-8.5589404549675727</v>
      </c>
      <c r="Q173" s="2">
        <f t="shared" si="8"/>
        <v>-0.35895023640285284</v>
      </c>
    </row>
    <row r="174" spans="1:17" x14ac:dyDescent="0.45">
      <c r="A174" t="s">
        <v>186</v>
      </c>
      <c r="B174">
        <v>54.1</v>
      </c>
      <c r="C174">
        <v>118.1</v>
      </c>
      <c r="D174">
        <v>1.3403999999999999E-2</v>
      </c>
      <c r="E174">
        <v>32.299999999999997</v>
      </c>
      <c r="F174">
        <v>1</v>
      </c>
      <c r="G174">
        <v>6.3616126775741494E-2</v>
      </c>
      <c r="H174">
        <v>574.044085780106</v>
      </c>
      <c r="I174">
        <v>45.616895584080503</v>
      </c>
      <c r="K174">
        <v>6.9847732782363892E-2</v>
      </c>
      <c r="L174" s="2">
        <f t="shared" si="6"/>
        <v>9.7956388143370496</v>
      </c>
      <c r="N174">
        <v>47.478973388671882</v>
      </c>
      <c r="O174">
        <v>569.96929931640625</v>
      </c>
      <c r="P174" s="2">
        <f t="shared" si="7"/>
        <v>4.0819915093941903</v>
      </c>
      <c r="Q174" s="2">
        <f t="shared" si="8"/>
        <v>-0.70983859334815003</v>
      </c>
    </row>
    <row r="175" spans="1:17" x14ac:dyDescent="0.45">
      <c r="A175" t="s">
        <v>187</v>
      </c>
      <c r="B175">
        <v>72.900000000000006</v>
      </c>
      <c r="C175">
        <v>130</v>
      </c>
      <c r="D175">
        <v>1.5181999999999999E-2</v>
      </c>
      <c r="E175">
        <v>25.03</v>
      </c>
      <c r="F175">
        <v>1</v>
      </c>
      <c r="G175">
        <v>6.6725090146064703E-2</v>
      </c>
      <c r="H175">
        <v>536.60829180160295</v>
      </c>
      <c r="I175">
        <v>68.455261351132293</v>
      </c>
      <c r="K175">
        <v>7.3987118899822235E-2</v>
      </c>
      <c r="L175" s="2">
        <f t="shared" si="6"/>
        <v>10.883505346880121</v>
      </c>
      <c r="N175">
        <v>68.767715454101563</v>
      </c>
      <c r="O175">
        <v>529.59161376953125</v>
      </c>
      <c r="P175" s="2">
        <f t="shared" si="7"/>
        <v>0.45643548326632921</v>
      </c>
      <c r="Q175" s="2">
        <f t="shared" si="8"/>
        <v>-1.3075977653110755</v>
      </c>
    </row>
    <row r="176" spans="1:17" x14ac:dyDescent="0.45">
      <c r="A176" t="s">
        <v>188</v>
      </c>
      <c r="B176">
        <v>43</v>
      </c>
      <c r="C176">
        <v>118.3</v>
      </c>
      <c r="D176">
        <v>6.1910000000000003E-3</v>
      </c>
      <c r="E176">
        <v>20</v>
      </c>
      <c r="F176">
        <v>1</v>
      </c>
      <c r="G176">
        <v>3.1510550528764697E-2</v>
      </c>
      <c r="H176">
        <v>500.32054130509101</v>
      </c>
      <c r="I176">
        <v>32.218137405020997</v>
      </c>
      <c r="K176">
        <v>2.9764298349618908E-2</v>
      </c>
      <c r="L176" s="2">
        <f t="shared" si="6"/>
        <v>-5.5418015548528938</v>
      </c>
      <c r="N176">
        <v>30.062376022338871</v>
      </c>
      <c r="O176">
        <v>497.2752685546875</v>
      </c>
      <c r="P176" s="2">
        <f t="shared" si="7"/>
        <v>-6.69114218361414</v>
      </c>
      <c r="Q176" s="2">
        <f t="shared" si="8"/>
        <v>-0.60866434595307417</v>
      </c>
    </row>
    <row r="177" spans="1:17" x14ac:dyDescent="0.45">
      <c r="A177" t="s">
        <v>189</v>
      </c>
      <c r="B177">
        <v>87.8</v>
      </c>
      <c r="C177">
        <v>111.9</v>
      </c>
      <c r="D177">
        <v>2.3542E-2</v>
      </c>
      <c r="E177">
        <v>26.36</v>
      </c>
      <c r="F177">
        <v>1</v>
      </c>
      <c r="G177">
        <v>0.13206014037132199</v>
      </c>
      <c r="H177">
        <v>536.39357910599495</v>
      </c>
      <c r="I177">
        <v>95.119890032541903</v>
      </c>
      <c r="K177">
        <v>0.13103009760379791</v>
      </c>
      <c r="L177" s="2">
        <f t="shared" si="6"/>
        <v>-0.77998006410400844</v>
      </c>
      <c r="N177">
        <v>96.218009948730469</v>
      </c>
      <c r="O177">
        <v>534.1141357421875</v>
      </c>
      <c r="P177" s="2">
        <f t="shared" si="7"/>
        <v>1.1544587738830256</v>
      </c>
      <c r="Q177" s="2">
        <f t="shared" si="8"/>
        <v>-0.42495724270349849</v>
      </c>
    </row>
    <row r="178" spans="1:17" x14ac:dyDescent="0.45">
      <c r="A178" t="s">
        <v>190</v>
      </c>
      <c r="B178">
        <v>70.7</v>
      </c>
      <c r="C178">
        <v>130</v>
      </c>
      <c r="D178">
        <v>1.5761000000000001E-2</v>
      </c>
      <c r="E178">
        <v>27.77</v>
      </c>
      <c r="F178">
        <v>1</v>
      </c>
      <c r="G178">
        <v>6.8236857652664101E-2</v>
      </c>
      <c r="H178">
        <v>553.048291801603</v>
      </c>
      <c r="I178">
        <v>64.349166963928596</v>
      </c>
      <c r="K178">
        <v>7.8833520412445068E-2</v>
      </c>
      <c r="L178" s="2">
        <f t="shared" si="6"/>
        <v>15.529236140561423</v>
      </c>
      <c r="N178">
        <v>64.895484924316406</v>
      </c>
      <c r="O178">
        <v>543.3336181640625</v>
      </c>
      <c r="P178" s="2">
        <f t="shared" si="7"/>
        <v>0.84898994993059185</v>
      </c>
      <c r="Q178" s="2">
        <f t="shared" si="8"/>
        <v>-1.7565687809818746</v>
      </c>
    </row>
    <row r="179" spans="1:17" x14ac:dyDescent="0.45">
      <c r="A179" t="s">
        <v>191</v>
      </c>
      <c r="B179">
        <v>51.7</v>
      </c>
      <c r="C179">
        <v>106.1</v>
      </c>
      <c r="D179">
        <v>1.0628E-2</v>
      </c>
      <c r="E179">
        <v>24.37</v>
      </c>
      <c r="F179">
        <v>1</v>
      </c>
      <c r="G179">
        <v>7.4007764458656297E-2</v>
      </c>
      <c r="H179">
        <v>523.12321835852401</v>
      </c>
      <c r="I179">
        <v>45.709008131696201</v>
      </c>
      <c r="K179">
        <v>7.4372522532939911E-2</v>
      </c>
      <c r="L179" s="2">
        <f t="shared" si="6"/>
        <v>0.49286460272338339</v>
      </c>
      <c r="N179">
        <v>43.714324951171882</v>
      </c>
      <c r="O179">
        <v>521.39892578125</v>
      </c>
      <c r="P179" s="2">
        <f t="shared" si="7"/>
        <v>-4.3638732539924385</v>
      </c>
      <c r="Q179" s="2">
        <f t="shared" si="8"/>
        <v>-0.3296149963835604</v>
      </c>
    </row>
    <row r="180" spans="1:17" x14ac:dyDescent="0.45">
      <c r="A180" t="s">
        <v>192</v>
      </c>
      <c r="B180">
        <v>44.9</v>
      </c>
      <c r="C180">
        <v>102.5</v>
      </c>
      <c r="D180">
        <v>8.3260000000000001E-3</v>
      </c>
      <c r="E180">
        <v>23.9</v>
      </c>
      <c r="F180">
        <v>1</v>
      </c>
      <c r="G180">
        <v>6.9867238402366597E-2</v>
      </c>
      <c r="H180">
        <v>519.707691900962</v>
      </c>
      <c r="I180">
        <v>36.129304163036799</v>
      </c>
      <c r="K180">
        <v>7.107120007276535E-2</v>
      </c>
      <c r="L180" s="2">
        <f t="shared" si="6"/>
        <v>1.7232134802081607</v>
      </c>
      <c r="N180">
        <v>35.757705688476563</v>
      </c>
      <c r="O180">
        <v>516.7498779296875</v>
      </c>
      <c r="P180" s="2">
        <f t="shared" si="7"/>
        <v>-1.0285237514770968</v>
      </c>
      <c r="Q180" s="2">
        <f t="shared" si="8"/>
        <v>-0.56913030485570715</v>
      </c>
    </row>
    <row r="181" spans="1:17" x14ac:dyDescent="0.45">
      <c r="A181" t="s">
        <v>193</v>
      </c>
      <c r="B181">
        <v>78.900000000000006</v>
      </c>
      <c r="C181">
        <v>111.7</v>
      </c>
      <c r="D181">
        <v>2.3272999999999999E-2</v>
      </c>
      <c r="E181">
        <v>30.86</v>
      </c>
      <c r="F181">
        <v>1.06</v>
      </c>
      <c r="G181">
        <v>0.128596246242523</v>
      </c>
      <c r="H181">
        <v>575.22396208299199</v>
      </c>
      <c r="I181">
        <v>81.455337464368696</v>
      </c>
      <c r="K181">
        <v>0.1341596394777298</v>
      </c>
      <c r="L181" s="2">
        <f t="shared" si="6"/>
        <v>4.3262485475000965</v>
      </c>
      <c r="N181">
        <v>81.410987854003906</v>
      </c>
      <c r="O181">
        <v>572.10137939453125</v>
      </c>
      <c r="P181" s="2">
        <f t="shared" si="7"/>
        <v>-5.4446536894147975E-2</v>
      </c>
      <c r="Q181" s="2">
        <f t="shared" si="8"/>
        <v>-0.54284642057561217</v>
      </c>
    </row>
    <row r="182" spans="1:17" x14ac:dyDescent="0.45">
      <c r="A182" t="s">
        <v>194</v>
      </c>
      <c r="B182">
        <v>89</v>
      </c>
      <c r="C182">
        <v>112.4</v>
      </c>
      <c r="D182">
        <v>2.2818999999999999E-2</v>
      </c>
      <c r="E182">
        <v>24.88</v>
      </c>
      <c r="F182">
        <v>1</v>
      </c>
      <c r="G182">
        <v>0.12724964320659601</v>
      </c>
      <c r="H182">
        <v>527.65165809508596</v>
      </c>
      <c r="I182">
        <v>96.926929115619103</v>
      </c>
      <c r="K182">
        <v>0.1244270130991936</v>
      </c>
      <c r="L182" s="2">
        <f t="shared" si="6"/>
        <v>-2.2181831212050906</v>
      </c>
      <c r="N182">
        <v>97.741592407226563</v>
      </c>
      <c r="O182">
        <v>526.5274658203125</v>
      </c>
      <c r="P182" s="2">
        <f t="shared" si="7"/>
        <v>0.84049221309352529</v>
      </c>
      <c r="Q182" s="2">
        <f t="shared" si="8"/>
        <v>-0.21305576463684253</v>
      </c>
    </row>
    <row r="183" spans="1:17" x14ac:dyDescent="0.45">
      <c r="A183" t="s">
        <v>195</v>
      </c>
      <c r="B183">
        <v>75.900000000000006</v>
      </c>
      <c r="C183">
        <v>111</v>
      </c>
      <c r="D183">
        <v>2.1479999999999999E-2</v>
      </c>
      <c r="E183">
        <v>29.68</v>
      </c>
      <c r="F183">
        <v>1</v>
      </c>
      <c r="G183">
        <v>0.12179032713174801</v>
      </c>
      <c r="H183">
        <v>556.07484915657301</v>
      </c>
      <c r="I183">
        <v>77.117572960529799</v>
      </c>
      <c r="K183">
        <v>0.12615220248699191</v>
      </c>
      <c r="L183" s="2">
        <f t="shared" si="6"/>
        <v>3.5814628780210098</v>
      </c>
      <c r="N183">
        <v>76.806106567382813</v>
      </c>
      <c r="O183">
        <v>555.400634765625</v>
      </c>
      <c r="P183" s="2">
        <f t="shared" si="7"/>
        <v>-0.40388510839987224</v>
      </c>
      <c r="Q183" s="2">
        <f t="shared" si="8"/>
        <v>-0.12124525897379182</v>
      </c>
    </row>
    <row r="184" spans="1:17" x14ac:dyDescent="0.45">
      <c r="A184" t="s">
        <v>196</v>
      </c>
      <c r="B184">
        <v>50.6</v>
      </c>
      <c r="C184">
        <v>104.3</v>
      </c>
      <c r="D184">
        <v>1.0806E-2</v>
      </c>
      <c r="E184">
        <v>25.78</v>
      </c>
      <c r="F184">
        <v>1</v>
      </c>
      <c r="G184">
        <v>8.1566356122493702E-2</v>
      </c>
      <c r="H184">
        <v>531.26472903572801</v>
      </c>
      <c r="I184">
        <v>43.854384836049299</v>
      </c>
      <c r="K184">
        <v>8.3232223987579346E-2</v>
      </c>
      <c r="L184" s="2">
        <f t="shared" si="6"/>
        <v>2.0423468011540167</v>
      </c>
      <c r="N184">
        <v>42.503124237060547</v>
      </c>
      <c r="O184">
        <v>529.05706787109375</v>
      </c>
      <c r="P184" s="2">
        <f t="shared" si="7"/>
        <v>-3.0812439942789598</v>
      </c>
      <c r="Q184" s="2">
        <f t="shared" si="8"/>
        <v>-0.41554822746115205</v>
      </c>
    </row>
    <row r="185" spans="1:17" x14ac:dyDescent="0.45">
      <c r="A185" t="s">
        <v>197</v>
      </c>
      <c r="B185">
        <v>83.1</v>
      </c>
      <c r="C185">
        <v>102.3</v>
      </c>
      <c r="D185">
        <v>2.8919E-2</v>
      </c>
      <c r="E185">
        <v>35</v>
      </c>
      <c r="F185">
        <v>1</v>
      </c>
      <c r="G185">
        <v>0.23924131691455799</v>
      </c>
      <c r="H185">
        <v>586.27940295235203</v>
      </c>
      <c r="I185">
        <v>89.684638426634606</v>
      </c>
      <c r="K185">
        <v>0.22948187589645391</v>
      </c>
      <c r="L185" s="2">
        <f t="shared" si="6"/>
        <v>-4.0793292496335578</v>
      </c>
      <c r="N185">
        <v>94.053855895996094</v>
      </c>
      <c r="O185">
        <v>589.9794921875</v>
      </c>
      <c r="P185" s="2">
        <f t="shared" si="7"/>
        <v>4.8717567980559693</v>
      </c>
      <c r="Q185" s="2">
        <f t="shared" si="8"/>
        <v>0.63111363225712425</v>
      </c>
    </row>
    <row r="186" spans="1:17" x14ac:dyDescent="0.45">
      <c r="A186" t="s">
        <v>198</v>
      </c>
      <c r="B186">
        <v>45.4</v>
      </c>
      <c r="C186">
        <v>122.5</v>
      </c>
      <c r="D186">
        <v>6.6239999999999997E-3</v>
      </c>
      <c r="E186">
        <v>20</v>
      </c>
      <c r="F186">
        <v>1</v>
      </c>
      <c r="G186">
        <v>3.1825985759496599E-2</v>
      </c>
      <c r="H186">
        <v>502.118435093269</v>
      </c>
      <c r="I186">
        <v>35.100258096919603</v>
      </c>
      <c r="K186">
        <v>3.0458040535449982E-2</v>
      </c>
      <c r="L186" s="2">
        <f t="shared" si="6"/>
        <v>-4.2982022124434405</v>
      </c>
      <c r="N186">
        <v>35.330787658691413</v>
      </c>
      <c r="O186">
        <v>493.1666259765625</v>
      </c>
      <c r="P186" s="2">
        <f t="shared" si="7"/>
        <v>0.65677454888014464</v>
      </c>
      <c r="Q186" s="2">
        <f t="shared" si="8"/>
        <v>-1.7828082960235649</v>
      </c>
    </row>
    <row r="187" spans="1:17" x14ac:dyDescent="0.45">
      <c r="A187" t="s">
        <v>199</v>
      </c>
      <c r="B187">
        <v>77.099999999999994</v>
      </c>
      <c r="C187">
        <v>111.2</v>
      </c>
      <c r="D187">
        <v>2.2831000000000001E-2</v>
      </c>
      <c r="E187">
        <v>31.18</v>
      </c>
      <c r="F187">
        <v>1</v>
      </c>
      <c r="G187">
        <v>0.12782473862171101</v>
      </c>
      <c r="H187">
        <v>565.12682359248595</v>
      </c>
      <c r="I187">
        <v>78.580966039035204</v>
      </c>
      <c r="K187">
        <v>0.1348298043012619</v>
      </c>
      <c r="L187" s="2">
        <f t="shared" si="6"/>
        <v>5.4802112291282894</v>
      </c>
      <c r="N187">
        <v>79.0791015625</v>
      </c>
      <c r="O187">
        <v>566.46331787109375</v>
      </c>
      <c r="P187" s="2">
        <f t="shared" si="7"/>
        <v>0.63391371800818386</v>
      </c>
      <c r="Q187" s="2">
        <f t="shared" si="8"/>
        <v>0.23649457481274158</v>
      </c>
    </row>
    <row r="188" spans="1:17" x14ac:dyDescent="0.45">
      <c r="A188" t="s">
        <v>200</v>
      </c>
      <c r="B188">
        <v>78</v>
      </c>
      <c r="C188">
        <v>130</v>
      </c>
      <c r="D188">
        <v>1.5973000000000001E-2</v>
      </c>
      <c r="E188">
        <v>23.7</v>
      </c>
      <c r="F188">
        <v>1</v>
      </c>
      <c r="G188">
        <v>7.0773333311080905E-2</v>
      </c>
      <c r="H188">
        <v>528.62829180160304</v>
      </c>
      <c r="I188">
        <v>75.408203453769801</v>
      </c>
      <c r="K188">
        <v>7.7185772359371185E-2</v>
      </c>
      <c r="L188" s="2">
        <f t="shared" si="6"/>
        <v>9.0605299316688974</v>
      </c>
      <c r="N188">
        <v>76.413787841796875</v>
      </c>
      <c r="O188">
        <v>519.30865478515625</v>
      </c>
      <c r="P188" s="2">
        <f t="shared" si="7"/>
        <v>1.3335212111817036</v>
      </c>
      <c r="Q188" s="2">
        <f t="shared" si="8"/>
        <v>-1.7629849103771578</v>
      </c>
    </row>
    <row r="189" spans="1:17" x14ac:dyDescent="0.45">
      <c r="A189" t="s">
        <v>201</v>
      </c>
      <c r="B189">
        <v>69.7</v>
      </c>
      <c r="C189">
        <v>112.7</v>
      </c>
      <c r="D189">
        <v>1.7513000000000001E-2</v>
      </c>
      <c r="E189">
        <v>27.01</v>
      </c>
      <c r="F189">
        <v>1</v>
      </c>
      <c r="G189">
        <v>9.5815300941467202E-2</v>
      </c>
      <c r="H189">
        <v>540.51640840305697</v>
      </c>
      <c r="I189">
        <v>68.701918804691005</v>
      </c>
      <c r="K189">
        <v>9.6387423574924469E-2</v>
      </c>
      <c r="L189" s="2">
        <f t="shared" si="6"/>
        <v>0.59710988520170938</v>
      </c>
      <c r="N189">
        <v>68.031646728515625</v>
      </c>
      <c r="O189">
        <v>539.27984619140625</v>
      </c>
      <c r="P189" s="2">
        <f t="shared" si="7"/>
        <v>-0.97562351654378099</v>
      </c>
      <c r="Q189" s="2">
        <f t="shared" si="8"/>
        <v>-0.22877422265572198</v>
      </c>
    </row>
    <row r="190" spans="1:17" x14ac:dyDescent="0.45">
      <c r="A190" t="s">
        <v>202</v>
      </c>
      <c r="B190">
        <v>87.3</v>
      </c>
      <c r="C190">
        <v>130</v>
      </c>
      <c r="D190">
        <v>1.6788999999999998E-2</v>
      </c>
      <c r="E190">
        <v>20.73</v>
      </c>
      <c r="F190">
        <v>1</v>
      </c>
      <c r="G190">
        <v>7.5937114655971499E-2</v>
      </c>
      <c r="H190">
        <v>510.80829180160299</v>
      </c>
      <c r="I190">
        <v>89.369310758863506</v>
      </c>
      <c r="K190">
        <v>8.4203563630580902E-2</v>
      </c>
      <c r="L190" s="2">
        <f t="shared" si="6"/>
        <v>10.885913972449506</v>
      </c>
      <c r="N190">
        <v>90.959800720214844</v>
      </c>
      <c r="O190">
        <v>490.80987548828119</v>
      </c>
      <c r="P190" s="2">
        <f t="shared" si="7"/>
        <v>1.7796824747175255</v>
      </c>
      <c r="Q190" s="2">
        <f t="shared" si="8"/>
        <v>-3.9150531881125272</v>
      </c>
    </row>
    <row r="191" spans="1:17" x14ac:dyDescent="0.45">
      <c r="A191" t="s">
        <v>203</v>
      </c>
      <c r="B191">
        <v>79.400000000000006</v>
      </c>
      <c r="C191">
        <v>125.9</v>
      </c>
      <c r="D191">
        <v>2.3255999999999999E-2</v>
      </c>
      <c r="E191">
        <v>35</v>
      </c>
      <c r="F191">
        <v>1</v>
      </c>
      <c r="G191">
        <v>9.9494047462940202E-2</v>
      </c>
      <c r="H191">
        <v>593.87578914941196</v>
      </c>
      <c r="I191">
        <v>76.088413233144806</v>
      </c>
      <c r="K191">
        <v>0.1122964099049568</v>
      </c>
      <c r="L191" s="2">
        <f t="shared" si="6"/>
        <v>12.86746571123791</v>
      </c>
      <c r="N191">
        <v>77.716133117675781</v>
      </c>
      <c r="O191">
        <v>590.23358154296875</v>
      </c>
      <c r="P191" s="2">
        <f t="shared" si="7"/>
        <v>2.1392480344457043</v>
      </c>
      <c r="Q191" s="2">
        <f t="shared" si="8"/>
        <v>-0.61329450922049167</v>
      </c>
    </row>
    <row r="192" spans="1:17" x14ac:dyDescent="0.45">
      <c r="A192" t="s">
        <v>204</v>
      </c>
      <c r="B192">
        <v>57.9</v>
      </c>
      <c r="C192">
        <v>130</v>
      </c>
      <c r="D192">
        <v>1.3191E-2</v>
      </c>
      <c r="E192">
        <v>32.020000000000003</v>
      </c>
      <c r="F192">
        <v>1.05</v>
      </c>
      <c r="G192">
        <v>5.5985134094953502E-2</v>
      </c>
      <c r="H192">
        <v>588.93753617520304</v>
      </c>
      <c r="I192">
        <v>47.729948851474397</v>
      </c>
      <c r="K192">
        <v>6.2870800495147705E-2</v>
      </c>
      <c r="L192" s="2">
        <f t="shared" si="6"/>
        <v>12.29909780784981</v>
      </c>
      <c r="N192">
        <v>49.510406494140618</v>
      </c>
      <c r="O192">
        <v>578.07293701171875</v>
      </c>
      <c r="P192" s="2">
        <f t="shared" si="7"/>
        <v>3.7302735190574623</v>
      </c>
      <c r="Q192" s="2">
        <f t="shared" si="8"/>
        <v>-1.844779538767958</v>
      </c>
    </row>
    <row r="193" spans="1:17" x14ac:dyDescent="0.45">
      <c r="A193" t="s">
        <v>205</v>
      </c>
      <c r="B193">
        <v>75.400000000000006</v>
      </c>
      <c r="C193">
        <v>125.9</v>
      </c>
      <c r="D193">
        <v>2.1684999999999999E-2</v>
      </c>
      <c r="E193">
        <v>35</v>
      </c>
      <c r="F193">
        <v>1</v>
      </c>
      <c r="G193">
        <v>9.2797525227069799E-2</v>
      </c>
      <c r="H193">
        <v>593.87578914941196</v>
      </c>
      <c r="I193">
        <v>70.964656874933098</v>
      </c>
      <c r="K193">
        <v>0.1038780584931374</v>
      </c>
      <c r="L193" s="2">
        <f t="shared" si="6"/>
        <v>11.9405482408655</v>
      </c>
      <c r="N193">
        <v>72.494895935058594</v>
      </c>
      <c r="O193">
        <v>591.611572265625</v>
      </c>
      <c r="P193" s="2">
        <f t="shared" si="7"/>
        <v>2.1563396872648353</v>
      </c>
      <c r="Q193" s="2">
        <f t="shared" si="8"/>
        <v>-0.38126101874432666</v>
      </c>
    </row>
    <row r="194" spans="1:17" x14ac:dyDescent="0.45">
      <c r="A194" t="s">
        <v>206</v>
      </c>
      <c r="B194">
        <v>44.3</v>
      </c>
      <c r="C194">
        <v>112.6</v>
      </c>
      <c r="D194">
        <v>6.777E-3</v>
      </c>
      <c r="E194">
        <v>20</v>
      </c>
      <c r="F194">
        <v>1</v>
      </c>
      <c r="G194">
        <v>3.88248488306999E-2</v>
      </c>
      <c r="H194">
        <v>498.42799852572398</v>
      </c>
      <c r="I194">
        <v>34.424442634346697</v>
      </c>
      <c r="K194">
        <v>4.0171101689338677E-2</v>
      </c>
      <c r="L194" s="2">
        <f t="shared" si="6"/>
        <v>3.4675031563143071</v>
      </c>
      <c r="N194">
        <v>31.002786636352539</v>
      </c>
      <c r="O194">
        <v>496.33828735351563</v>
      </c>
      <c r="P194" s="2">
        <f t="shared" si="7"/>
        <v>-9.9396119040725726</v>
      </c>
      <c r="Q194" s="2">
        <f t="shared" si="8"/>
        <v>-0.41926039034512691</v>
      </c>
    </row>
    <row r="195" spans="1:17" x14ac:dyDescent="0.45">
      <c r="A195" t="s">
        <v>207</v>
      </c>
      <c r="B195">
        <v>63.5</v>
      </c>
      <c r="C195">
        <v>106.2</v>
      </c>
      <c r="D195">
        <v>1.9639E-2</v>
      </c>
      <c r="E195">
        <v>35</v>
      </c>
      <c r="F195">
        <v>1</v>
      </c>
      <c r="G195">
        <v>0.131073728203773</v>
      </c>
      <c r="H195">
        <v>586.922160797385</v>
      </c>
      <c r="I195">
        <v>60.630832574836802</v>
      </c>
      <c r="K195">
        <v>0.13348528742790219</v>
      </c>
      <c r="L195" s="2">
        <f t="shared" si="6"/>
        <v>1.8398494169480542</v>
      </c>
      <c r="N195">
        <v>62.374214172363281</v>
      </c>
      <c r="O195">
        <v>589.0445556640625</v>
      </c>
      <c r="P195" s="2">
        <f t="shared" si="7"/>
        <v>2.8754043503767139</v>
      </c>
      <c r="Q195" s="2">
        <f t="shared" si="8"/>
        <v>0.36161436872549457</v>
      </c>
    </row>
    <row r="196" spans="1:17" x14ac:dyDescent="0.45">
      <c r="A196" t="s">
        <v>208</v>
      </c>
      <c r="B196">
        <v>77.8</v>
      </c>
      <c r="C196">
        <v>122.3</v>
      </c>
      <c r="D196">
        <v>1.5091E-2</v>
      </c>
      <c r="E196">
        <v>20</v>
      </c>
      <c r="F196">
        <v>1</v>
      </c>
      <c r="G196">
        <v>7.2712607681751196E-2</v>
      </c>
      <c r="H196">
        <v>502.02398255795799</v>
      </c>
      <c r="I196">
        <v>80.5538043883044</v>
      </c>
      <c r="K196">
        <v>7.536693662405014E-2</v>
      </c>
      <c r="L196" s="2">
        <f t="shared" si="6"/>
        <v>3.6504383860312384</v>
      </c>
      <c r="N196">
        <v>80.269699096679688</v>
      </c>
      <c r="O196">
        <v>487.2811279296875</v>
      </c>
      <c r="P196" s="2">
        <f t="shared" si="7"/>
        <v>-0.35269009798122142</v>
      </c>
      <c r="Q196" s="2">
        <f t="shared" si="8"/>
        <v>-2.9366833339617298</v>
      </c>
    </row>
    <row r="197" spans="1:17" x14ac:dyDescent="0.45">
      <c r="A197" t="s">
        <v>209</v>
      </c>
      <c r="B197">
        <v>63</v>
      </c>
      <c r="C197">
        <v>130</v>
      </c>
      <c r="D197">
        <v>1.5138E-2</v>
      </c>
      <c r="E197">
        <v>32.479999999999997</v>
      </c>
      <c r="F197">
        <v>1.1399999999999999</v>
      </c>
      <c r="G197">
        <v>6.4161904156207997E-2</v>
      </c>
      <c r="H197">
        <v>610.78457604768198</v>
      </c>
      <c r="I197">
        <v>55.2774156820713</v>
      </c>
      <c r="K197">
        <v>6.8957440555095673E-2</v>
      </c>
      <c r="L197" s="2">
        <f t="shared" si="6"/>
        <v>7.4741179551225692</v>
      </c>
      <c r="N197">
        <v>57.568660736083977</v>
      </c>
      <c r="O197">
        <v>600.7840576171875</v>
      </c>
      <c r="P197" s="2">
        <f t="shared" si="7"/>
        <v>4.1449930785310212</v>
      </c>
      <c r="Q197" s="2">
        <f t="shared" si="8"/>
        <v>-1.637323341595609</v>
      </c>
    </row>
    <row r="198" spans="1:17" x14ac:dyDescent="0.45">
      <c r="A198" t="s">
        <v>210</v>
      </c>
      <c r="B198">
        <v>50.3</v>
      </c>
      <c r="C198">
        <v>108.3</v>
      </c>
      <c r="D198">
        <v>8.633E-3</v>
      </c>
      <c r="E198">
        <v>20</v>
      </c>
      <c r="F198">
        <v>1</v>
      </c>
      <c r="G198">
        <v>5.6341215968131998E-2</v>
      </c>
      <c r="H198">
        <v>497.35129733090503</v>
      </c>
      <c r="I198">
        <v>43.3569437332199</v>
      </c>
      <c r="K198">
        <v>5.6854147464036942E-2</v>
      </c>
      <c r="L198" s="2">
        <f t="shared" si="6"/>
        <v>0.91040189156561724</v>
      </c>
      <c r="N198">
        <v>41.747890472412109</v>
      </c>
      <c r="O198">
        <v>494.12277221679688</v>
      </c>
      <c r="P198" s="2">
        <f t="shared" si="7"/>
        <v>-3.7111777774477708</v>
      </c>
      <c r="Q198" s="2">
        <f t="shared" si="8"/>
        <v>-0.64914380065648092</v>
      </c>
    </row>
    <row r="199" spans="1:17" x14ac:dyDescent="0.45">
      <c r="A199" t="s">
        <v>211</v>
      </c>
      <c r="B199">
        <v>75.099999999999994</v>
      </c>
      <c r="C199">
        <v>130</v>
      </c>
      <c r="D199">
        <v>1.8246999999999999E-2</v>
      </c>
      <c r="E199">
        <v>30.09</v>
      </c>
      <c r="F199">
        <v>1.05</v>
      </c>
      <c r="G199">
        <v>7.8119702637195504E-2</v>
      </c>
      <c r="H199">
        <v>576.77853617520202</v>
      </c>
      <c r="I199">
        <v>69.728797810897305</v>
      </c>
      <c r="K199">
        <v>8.6503162980079651E-2</v>
      </c>
      <c r="L199" s="2">
        <f t="shared" si="6"/>
        <v>10.731556905456641</v>
      </c>
      <c r="N199">
        <v>69.944259643554688</v>
      </c>
      <c r="O199">
        <v>560.306396484375</v>
      </c>
      <c r="P199" s="2">
        <f t="shared" si="7"/>
        <v>0.30899978118324861</v>
      </c>
      <c r="Q199" s="2">
        <f t="shared" si="8"/>
        <v>-2.8558863857970347</v>
      </c>
    </row>
    <row r="200" spans="1:17" x14ac:dyDescent="0.45">
      <c r="A200" t="s">
        <v>212</v>
      </c>
      <c r="B200">
        <v>47.3</v>
      </c>
      <c r="C200">
        <v>119.8</v>
      </c>
      <c r="D200">
        <v>7.2680000000000002E-3</v>
      </c>
      <c r="E200">
        <v>20</v>
      </c>
      <c r="F200">
        <v>1</v>
      </c>
      <c r="G200">
        <v>3.6159090697765302E-2</v>
      </c>
      <c r="H200">
        <v>500.91949386692198</v>
      </c>
      <c r="I200">
        <v>38.178835848612202</v>
      </c>
      <c r="K200">
        <v>3.6616567522287369E-2</v>
      </c>
      <c r="L200" s="2">
        <f t="shared" si="6"/>
        <v>1.2651779004783987</v>
      </c>
      <c r="N200">
        <v>37.307243347167969</v>
      </c>
      <c r="O200">
        <v>496.65887451171881</v>
      </c>
      <c r="P200" s="2">
        <f t="shared" si="7"/>
        <v>-2.2829205817073541</v>
      </c>
      <c r="Q200" s="2">
        <f t="shared" si="8"/>
        <v>-0.85055970218142152</v>
      </c>
    </row>
    <row r="201" spans="1:17" x14ac:dyDescent="0.45">
      <c r="A201" t="s">
        <v>213</v>
      </c>
      <c r="B201">
        <v>59.4</v>
      </c>
      <c r="C201">
        <v>112.2</v>
      </c>
      <c r="D201">
        <v>1.2E-2</v>
      </c>
      <c r="E201">
        <v>22.37</v>
      </c>
      <c r="F201">
        <v>1</v>
      </c>
      <c r="G201">
        <v>6.8322926759719793E-2</v>
      </c>
      <c r="H201">
        <v>512.53595332013401</v>
      </c>
      <c r="I201">
        <v>55.458216338145597</v>
      </c>
      <c r="K201">
        <v>6.9511272013187408E-2</v>
      </c>
      <c r="L201" s="2">
        <f t="shared" ref="L201:L264" si="9">(K201-G201)/G201*100</f>
        <v>1.739306715660506</v>
      </c>
      <c r="N201">
        <v>55.783187866210938</v>
      </c>
      <c r="O201">
        <v>512.32952880859375</v>
      </c>
      <c r="P201" s="2">
        <f t="shared" ref="P201:P257" si="10">(N201-I201)/I201*100</f>
        <v>0.58597544155385439</v>
      </c>
      <c r="Q201" s="2">
        <f t="shared" ref="Q201:Q257" si="11">(O201-H201)/H201*100</f>
        <v>-4.0275128057470799E-2</v>
      </c>
    </row>
    <row r="202" spans="1:17" x14ac:dyDescent="0.45">
      <c r="A202" t="s">
        <v>214</v>
      </c>
      <c r="B202">
        <v>84.6</v>
      </c>
      <c r="C202">
        <v>100</v>
      </c>
      <c r="D202">
        <v>2.9801999999999999E-2</v>
      </c>
      <c r="E202">
        <v>35</v>
      </c>
      <c r="F202">
        <v>1</v>
      </c>
      <c r="G202">
        <v>0.29204031825065602</v>
      </c>
      <c r="H202">
        <v>585.98898741352798</v>
      </c>
      <c r="I202">
        <v>93.438871993504605</v>
      </c>
      <c r="K202">
        <v>0.25504162907600397</v>
      </c>
      <c r="L202" s="2">
        <f t="shared" si="9"/>
        <v>-12.669034671745683</v>
      </c>
      <c r="N202">
        <v>97.914070129394531</v>
      </c>
      <c r="O202">
        <v>589.2080078125</v>
      </c>
      <c r="P202" s="2">
        <f t="shared" si="10"/>
        <v>4.7894393847145524</v>
      </c>
      <c r="Q202" s="2">
        <f t="shared" si="11"/>
        <v>0.54933121067348356</v>
      </c>
    </row>
    <row r="203" spans="1:17" x14ac:dyDescent="0.45">
      <c r="A203" t="s">
        <v>215</v>
      </c>
      <c r="B203">
        <v>70.3</v>
      </c>
      <c r="C203">
        <v>118.5</v>
      </c>
      <c r="D203">
        <v>1.4385E-2</v>
      </c>
      <c r="E203">
        <v>21.72</v>
      </c>
      <c r="F203">
        <v>1</v>
      </c>
      <c r="G203">
        <v>7.2012215852737399E-2</v>
      </c>
      <c r="H203">
        <v>510.71778390802399</v>
      </c>
      <c r="I203">
        <v>69.551370996489396</v>
      </c>
      <c r="K203">
        <v>7.2775848209857941E-2</v>
      </c>
      <c r="L203" s="2">
        <f t="shared" si="9"/>
        <v>1.0604205801445474</v>
      </c>
      <c r="N203">
        <v>69.150543212890625</v>
      </c>
      <c r="O203">
        <v>507.04220581054688</v>
      </c>
      <c r="P203" s="2">
        <f t="shared" si="10"/>
        <v>-0.57630464770996825</v>
      </c>
      <c r="Q203" s="2">
        <f t="shared" si="11"/>
        <v>-0.71968868390513197</v>
      </c>
    </row>
    <row r="204" spans="1:17" x14ac:dyDescent="0.45">
      <c r="A204" t="s">
        <v>216</v>
      </c>
      <c r="B204">
        <v>58.2</v>
      </c>
      <c r="C204">
        <v>129.69999999999999</v>
      </c>
      <c r="D204">
        <v>9.3139999999999994E-3</v>
      </c>
      <c r="E204">
        <v>20</v>
      </c>
      <c r="F204">
        <v>1</v>
      </c>
      <c r="G204">
        <v>4.2422957718372303E-2</v>
      </c>
      <c r="H204">
        <v>506.223362709318</v>
      </c>
      <c r="I204">
        <v>51.2608288826586</v>
      </c>
      <c r="K204">
        <v>4.5023225247859948E-2</v>
      </c>
      <c r="L204" s="2">
        <f t="shared" si="9"/>
        <v>6.1293876460705494</v>
      </c>
      <c r="N204">
        <v>52.516132354736328</v>
      </c>
      <c r="O204">
        <v>492.3095703125</v>
      </c>
      <c r="P204" s="2">
        <f t="shared" si="10"/>
        <v>2.4488551969209249</v>
      </c>
      <c r="Q204" s="2">
        <f t="shared" si="11"/>
        <v>-2.7485480564055935</v>
      </c>
    </row>
    <row r="205" spans="1:17" x14ac:dyDescent="0.45">
      <c r="A205" t="s">
        <v>217</v>
      </c>
      <c r="B205">
        <v>82.9</v>
      </c>
      <c r="C205">
        <v>109.2</v>
      </c>
      <c r="D205">
        <v>2.6204999999999999E-2</v>
      </c>
      <c r="E205">
        <v>32.35</v>
      </c>
      <c r="F205">
        <v>1</v>
      </c>
      <c r="G205">
        <v>0.15608817338943401</v>
      </c>
      <c r="H205">
        <v>571.65402410808304</v>
      </c>
      <c r="I205">
        <v>86.943464875197805</v>
      </c>
      <c r="K205">
        <v>0.16901685297489169</v>
      </c>
      <c r="L205" s="2">
        <f t="shared" si="9"/>
        <v>8.2829334886257655</v>
      </c>
      <c r="N205">
        <v>88.904891967773438</v>
      </c>
      <c r="O205">
        <v>572.5335693359375</v>
      </c>
      <c r="P205" s="2">
        <f t="shared" si="10"/>
        <v>2.2559799007218602</v>
      </c>
      <c r="Q205" s="2">
        <f t="shared" si="11"/>
        <v>0.15385971072743959</v>
      </c>
    </row>
    <row r="206" spans="1:17" x14ac:dyDescent="0.45">
      <c r="A206" t="s">
        <v>218</v>
      </c>
      <c r="B206">
        <v>41.6</v>
      </c>
      <c r="C206">
        <v>113.5</v>
      </c>
      <c r="D206">
        <v>6.2589999999999998E-3</v>
      </c>
      <c r="E206">
        <v>21.17</v>
      </c>
      <c r="F206">
        <v>1</v>
      </c>
      <c r="G206">
        <v>3.4756701439619002E-2</v>
      </c>
      <c r="H206">
        <v>505.70950913172697</v>
      </c>
      <c r="I206">
        <v>30.4663773112139</v>
      </c>
      <c r="K206">
        <v>3.6824315786361687E-2</v>
      </c>
      <c r="L206" s="2">
        <f t="shared" si="9"/>
        <v>5.9488221295528971</v>
      </c>
      <c r="N206">
        <v>27.442987442016602</v>
      </c>
      <c r="O206">
        <v>502.22052001953119</v>
      </c>
      <c r="P206" s="2">
        <f t="shared" si="10"/>
        <v>-9.9236933827523561</v>
      </c>
      <c r="Q206" s="2">
        <f t="shared" si="11"/>
        <v>-0.68991961772405019</v>
      </c>
    </row>
    <row r="207" spans="1:17" x14ac:dyDescent="0.45">
      <c r="A207" t="s">
        <v>219</v>
      </c>
      <c r="B207">
        <v>69.3</v>
      </c>
      <c r="C207">
        <v>122.8</v>
      </c>
      <c r="D207">
        <v>1.3039E-2</v>
      </c>
      <c r="E207">
        <v>20.46</v>
      </c>
      <c r="F207">
        <v>1</v>
      </c>
      <c r="G207">
        <v>6.2225636094808502E-2</v>
      </c>
      <c r="H207">
        <v>505.02188338750699</v>
      </c>
      <c r="I207">
        <v>67.720446147109598</v>
      </c>
      <c r="K207">
        <v>6.503816694021225E-2</v>
      </c>
      <c r="L207" s="2">
        <f t="shared" si="9"/>
        <v>4.5198908712134447</v>
      </c>
      <c r="N207">
        <v>66.994705200195313</v>
      </c>
      <c r="O207">
        <v>496.67071533203119</v>
      </c>
      <c r="P207" s="2">
        <f t="shared" si="10"/>
        <v>-1.0716718335519433</v>
      </c>
      <c r="Q207" s="2">
        <f t="shared" si="11"/>
        <v>-1.6536249873884936</v>
      </c>
    </row>
    <row r="208" spans="1:17" x14ac:dyDescent="0.45">
      <c r="A208" t="s">
        <v>224</v>
      </c>
      <c r="B208">
        <v>51.9</v>
      </c>
      <c r="C208">
        <v>105.3</v>
      </c>
      <c r="D208">
        <v>1.0459E-2</v>
      </c>
      <c r="E208">
        <v>23.6</v>
      </c>
      <c r="F208">
        <v>1</v>
      </c>
      <c r="G208">
        <v>7.5774997472763006E-2</v>
      </c>
      <c r="H208">
        <v>518.35644636999302</v>
      </c>
      <c r="I208">
        <v>45.899040887821897</v>
      </c>
      <c r="K208">
        <v>7.5642064213752747E-2</v>
      </c>
      <c r="L208" s="2">
        <f t="shared" si="9"/>
        <v>-0.17543155848740438</v>
      </c>
      <c r="N208">
        <v>44.906967163085938</v>
      </c>
      <c r="O208">
        <v>515.55975341796875</v>
      </c>
      <c r="P208" s="2">
        <f t="shared" si="10"/>
        <v>-2.1614258283971686</v>
      </c>
      <c r="Q208" s="2">
        <f t="shared" si="11"/>
        <v>-0.53953085210173046</v>
      </c>
    </row>
    <row r="209" spans="1:17" x14ac:dyDescent="0.45">
      <c r="A209" t="s">
        <v>225</v>
      </c>
      <c r="B209">
        <v>50.7</v>
      </c>
      <c r="C209">
        <v>113.3</v>
      </c>
      <c r="D209">
        <v>9.7129999999999994E-3</v>
      </c>
      <c r="E209">
        <v>23.68</v>
      </c>
      <c r="F209">
        <v>1</v>
      </c>
      <c r="G209">
        <v>5.3299423307180398E-2</v>
      </c>
      <c r="H209">
        <v>520.71025613630104</v>
      </c>
      <c r="I209">
        <v>42.581008038197403</v>
      </c>
      <c r="K209">
        <v>5.6925851851701743E-2</v>
      </c>
      <c r="L209" s="2">
        <f t="shared" si="9"/>
        <v>6.8038795159586645</v>
      </c>
      <c r="N209">
        <v>41.072040557861328</v>
      </c>
      <c r="O209">
        <v>516.727783203125</v>
      </c>
      <c r="P209" s="2">
        <f t="shared" si="10"/>
        <v>-3.5437570641410177</v>
      </c>
      <c r="Q209" s="2">
        <f t="shared" si="11"/>
        <v>-0.76481553536629199</v>
      </c>
    </row>
    <row r="210" spans="1:17" x14ac:dyDescent="0.45">
      <c r="A210" t="s">
        <v>226</v>
      </c>
      <c r="B210">
        <v>73.900000000000006</v>
      </c>
      <c r="C210">
        <v>127.5</v>
      </c>
      <c r="D210">
        <v>2.0737999999999999E-2</v>
      </c>
      <c r="E210">
        <v>35</v>
      </c>
      <c r="F210">
        <v>1</v>
      </c>
      <c r="G210">
        <v>8.7882056832313496E-2</v>
      </c>
      <c r="H210">
        <v>594.81063629001005</v>
      </c>
      <c r="I210">
        <v>67.864116207035906</v>
      </c>
      <c r="K210">
        <v>9.8496571183204651E-2</v>
      </c>
      <c r="L210" s="2">
        <f t="shared" si="9"/>
        <v>12.078136008064263</v>
      </c>
      <c r="N210">
        <v>70.179473876953125</v>
      </c>
      <c r="O210">
        <v>591.703125</v>
      </c>
      <c r="P210" s="2">
        <f t="shared" si="10"/>
        <v>3.4117554302978914</v>
      </c>
      <c r="Q210" s="2">
        <f t="shared" si="11"/>
        <v>-0.52243707499792125</v>
      </c>
    </row>
    <row r="211" spans="1:17" x14ac:dyDescent="0.45">
      <c r="A211" t="s">
        <v>227</v>
      </c>
      <c r="B211">
        <v>41.8</v>
      </c>
      <c r="C211">
        <v>116.2</v>
      </c>
      <c r="D211">
        <v>5.9500000000000004E-3</v>
      </c>
      <c r="E211">
        <v>20</v>
      </c>
      <c r="F211">
        <v>1</v>
      </c>
      <c r="G211">
        <v>3.14495414495468E-2</v>
      </c>
      <c r="H211">
        <v>499.55585194352602</v>
      </c>
      <c r="I211">
        <v>30.754409792124001</v>
      </c>
      <c r="K211">
        <v>2.988805994391441E-2</v>
      </c>
      <c r="L211" s="2">
        <f t="shared" si="9"/>
        <v>-4.9650374334945724</v>
      </c>
      <c r="N211">
        <v>27.788755416870121</v>
      </c>
      <c r="O211">
        <v>496.18136596679688</v>
      </c>
      <c r="P211" s="2">
        <f t="shared" si="10"/>
        <v>-9.6430215871460643</v>
      </c>
      <c r="Q211" s="2">
        <f t="shared" si="11"/>
        <v>-0.67549723691568875</v>
      </c>
    </row>
    <row r="212" spans="1:17" x14ac:dyDescent="0.45">
      <c r="A212" t="s">
        <v>228</v>
      </c>
      <c r="B212">
        <v>63.7</v>
      </c>
      <c r="C212">
        <v>130</v>
      </c>
      <c r="D212">
        <v>1.2501E-2</v>
      </c>
      <c r="E212">
        <v>24.92</v>
      </c>
      <c r="F212">
        <v>1</v>
      </c>
      <c r="G212">
        <v>5.4971057921647998E-2</v>
      </c>
      <c r="H212">
        <v>535.94829180160298</v>
      </c>
      <c r="I212">
        <v>56.476055574621</v>
      </c>
      <c r="K212">
        <v>6.2410946935415268E-2</v>
      </c>
      <c r="L212" s="2">
        <f t="shared" si="9"/>
        <v>13.534192891778762</v>
      </c>
      <c r="N212">
        <v>58.339725494384773</v>
      </c>
      <c r="O212">
        <v>526.2113037109375</v>
      </c>
      <c r="P212" s="2">
        <f t="shared" si="10"/>
        <v>3.2999293254489634</v>
      </c>
      <c r="Q212" s="2">
        <f t="shared" si="11"/>
        <v>-1.8167775211922703</v>
      </c>
    </row>
    <row r="213" spans="1:17" x14ac:dyDescent="0.45">
      <c r="A213" t="s">
        <v>229</v>
      </c>
      <c r="B213">
        <v>40.799999999999997</v>
      </c>
      <c r="C213">
        <v>109.4</v>
      </c>
      <c r="D213">
        <v>9.2530000000000008E-3</v>
      </c>
      <c r="E213">
        <v>35</v>
      </c>
      <c r="F213">
        <v>1</v>
      </c>
      <c r="G213">
        <v>5.4193399846553802E-2</v>
      </c>
      <c r="H213">
        <v>587.60065145266105</v>
      </c>
      <c r="I213">
        <v>28.733113897649201</v>
      </c>
      <c r="K213">
        <v>6.6168993711471558E-2</v>
      </c>
      <c r="L213" s="2">
        <f t="shared" si="9"/>
        <v>22.097882581321922</v>
      </c>
      <c r="N213">
        <v>28.58281135559082</v>
      </c>
      <c r="O213">
        <v>589.40838623046875</v>
      </c>
      <c r="P213" s="2">
        <f t="shared" si="10"/>
        <v>-0.52309868882911892</v>
      </c>
      <c r="Q213" s="2">
        <f t="shared" si="11"/>
        <v>0.30764683009432164</v>
      </c>
    </row>
    <row r="214" spans="1:17" x14ac:dyDescent="0.45">
      <c r="A214" t="s">
        <v>230</v>
      </c>
      <c r="B214">
        <v>40.799999999999997</v>
      </c>
      <c r="C214">
        <v>106.5</v>
      </c>
      <c r="D214">
        <v>6.7819999999999998E-3</v>
      </c>
      <c r="E214">
        <v>23.57</v>
      </c>
      <c r="F214">
        <v>1</v>
      </c>
      <c r="G214">
        <v>4.6572130173444699E-2</v>
      </c>
      <c r="H214">
        <v>518.39979024448996</v>
      </c>
      <c r="I214">
        <v>29.491352454353098</v>
      </c>
      <c r="K214">
        <v>5.2340641617774963E-2</v>
      </c>
      <c r="L214" s="2">
        <f t="shared" si="9"/>
        <v>12.386187668133449</v>
      </c>
      <c r="N214">
        <v>29.826642990112301</v>
      </c>
      <c r="O214">
        <v>518.220947265625</v>
      </c>
      <c r="P214" s="2">
        <f t="shared" si="10"/>
        <v>1.1369113582639783</v>
      </c>
      <c r="Q214" s="2">
        <f t="shared" si="11"/>
        <v>-3.4499045375889714E-2</v>
      </c>
    </row>
    <row r="215" spans="1:17" x14ac:dyDescent="0.45">
      <c r="A215" t="s">
        <v>231</v>
      </c>
      <c r="B215">
        <v>68.8</v>
      </c>
      <c r="C215">
        <v>130</v>
      </c>
      <c r="D215">
        <v>1.3807E-2</v>
      </c>
      <c r="E215">
        <v>24.57</v>
      </c>
      <c r="F215">
        <v>1.0900000000000001</v>
      </c>
      <c r="G215">
        <v>6.0892295092344201E-2</v>
      </c>
      <c r="H215">
        <v>548.52593167408202</v>
      </c>
      <c r="I215">
        <v>64.671435056110994</v>
      </c>
      <c r="K215">
        <v>6.7973226308822632E-2</v>
      </c>
      <c r="L215" s="2">
        <f t="shared" si="9"/>
        <v>11.628616076533294</v>
      </c>
      <c r="N215">
        <v>65.450225830078125</v>
      </c>
      <c r="O215">
        <v>542.5377197265625</v>
      </c>
      <c r="P215" s="2">
        <f t="shared" si="10"/>
        <v>1.20422683259066</v>
      </c>
      <c r="Q215" s="2">
        <f t="shared" si="11"/>
        <v>-1.0916916779565375</v>
      </c>
    </row>
    <row r="216" spans="1:17" x14ac:dyDescent="0.45">
      <c r="A216" t="s">
        <v>232</v>
      </c>
      <c r="B216">
        <v>56.2</v>
      </c>
      <c r="C216">
        <v>114.3</v>
      </c>
      <c r="D216">
        <v>1.1821999999999999E-2</v>
      </c>
      <c r="E216">
        <v>24.85</v>
      </c>
      <c r="F216">
        <v>1</v>
      </c>
      <c r="G216">
        <v>6.2895856797695104E-2</v>
      </c>
      <c r="H216">
        <v>528.03315821430294</v>
      </c>
      <c r="I216">
        <v>50.092504535640401</v>
      </c>
      <c r="K216">
        <v>6.7320302128791809E-2</v>
      </c>
      <c r="L216" s="2">
        <f t="shared" si="9"/>
        <v>7.0345576900684561</v>
      </c>
      <c r="N216">
        <v>50.007854461669922</v>
      </c>
      <c r="O216">
        <v>526.060302734375</v>
      </c>
      <c r="P216" s="2">
        <f t="shared" si="10"/>
        <v>-0.16898750572603449</v>
      </c>
      <c r="Q216" s="2">
        <f t="shared" si="11"/>
        <v>-0.37362340777986858</v>
      </c>
    </row>
    <row r="217" spans="1:17" x14ac:dyDescent="0.45">
      <c r="A217" t="s">
        <v>233</v>
      </c>
      <c r="B217">
        <v>81.2</v>
      </c>
      <c r="C217">
        <v>100</v>
      </c>
      <c r="D217">
        <v>2.8233999999999999E-2</v>
      </c>
      <c r="E217">
        <v>35</v>
      </c>
      <c r="F217">
        <v>1.0900000000000001</v>
      </c>
      <c r="G217">
        <v>0.27555477619171098</v>
      </c>
      <c r="H217">
        <v>605.98564815436498</v>
      </c>
      <c r="I217">
        <v>90.110730455856697</v>
      </c>
      <c r="K217">
        <v>0.24741460382938391</v>
      </c>
      <c r="L217" s="2">
        <f t="shared" si="9"/>
        <v>-10.212188208543042</v>
      </c>
      <c r="N217">
        <v>93.789779663085938</v>
      </c>
      <c r="O217">
        <v>606.28680419921875</v>
      </c>
      <c r="P217" s="2">
        <f t="shared" si="10"/>
        <v>4.0828092155256996</v>
      </c>
      <c r="Q217" s="2">
        <f t="shared" si="11"/>
        <v>4.9696893939814017E-2</v>
      </c>
    </row>
    <row r="218" spans="1:17" x14ac:dyDescent="0.45">
      <c r="A218" t="s">
        <v>234</v>
      </c>
      <c r="B218">
        <v>44</v>
      </c>
      <c r="C218">
        <v>112</v>
      </c>
      <c r="D218">
        <v>6.7149999999999996E-3</v>
      </c>
      <c r="E218">
        <v>20</v>
      </c>
      <c r="F218">
        <v>1</v>
      </c>
      <c r="G218">
        <v>3.9079993963241501E-2</v>
      </c>
      <c r="H218">
        <v>498.26088012203297</v>
      </c>
      <c r="I218">
        <v>34.205085028788901</v>
      </c>
      <c r="K218">
        <v>4.073869064450264E-2</v>
      </c>
      <c r="L218" s="2">
        <f t="shared" si="9"/>
        <v>4.2443626854735514</v>
      </c>
      <c r="N218">
        <v>30.494279861450199</v>
      </c>
      <c r="O218">
        <v>496.2691650390625</v>
      </c>
      <c r="P218" s="2">
        <f t="shared" si="10"/>
        <v>-10.848694468133852</v>
      </c>
      <c r="Q218" s="2">
        <f t="shared" si="11"/>
        <v>-0.3997333851460837</v>
      </c>
    </row>
    <row r="219" spans="1:17" x14ac:dyDescent="0.45">
      <c r="A219" t="s">
        <v>235</v>
      </c>
      <c r="B219">
        <v>62.9</v>
      </c>
      <c r="C219">
        <v>117.5</v>
      </c>
      <c r="D219">
        <v>1.1606999999999999E-2</v>
      </c>
      <c r="E219">
        <v>20</v>
      </c>
      <c r="F219">
        <v>1</v>
      </c>
      <c r="G219">
        <v>5.9905298054218202E-2</v>
      </c>
      <c r="H219">
        <v>500.01937947282801</v>
      </c>
      <c r="I219">
        <v>60.544936479817999</v>
      </c>
      <c r="K219">
        <v>6.1808902770280838E-2</v>
      </c>
      <c r="L219" s="2">
        <f t="shared" si="9"/>
        <v>3.1776900840051732</v>
      </c>
      <c r="N219">
        <v>61.965030670166023</v>
      </c>
      <c r="O219">
        <v>497.666259765625</v>
      </c>
      <c r="P219" s="2">
        <f t="shared" si="10"/>
        <v>2.3455209847670702</v>
      </c>
      <c r="Q219" s="2">
        <f t="shared" si="11"/>
        <v>-0.47060570125980083</v>
      </c>
    </row>
    <row r="220" spans="1:17" x14ac:dyDescent="0.45">
      <c r="A220" t="s">
        <v>236</v>
      </c>
      <c r="B220">
        <v>83.1</v>
      </c>
      <c r="C220">
        <v>130</v>
      </c>
      <c r="D220">
        <v>2.1874000000000001E-2</v>
      </c>
      <c r="E220">
        <v>31.86</v>
      </c>
      <c r="F220">
        <v>1</v>
      </c>
      <c r="G220">
        <v>9.2870660126209204E-2</v>
      </c>
      <c r="H220">
        <v>577.58829180160296</v>
      </c>
      <c r="I220">
        <v>79.358626764874501</v>
      </c>
      <c r="K220">
        <v>0.1002791747450829</v>
      </c>
      <c r="L220" s="2">
        <f t="shared" si="9"/>
        <v>7.9772391073840581</v>
      </c>
      <c r="N220">
        <v>81.528457641601563</v>
      </c>
      <c r="O220">
        <v>567.036865234375</v>
      </c>
      <c r="P220" s="2">
        <f t="shared" si="10"/>
        <v>2.7342092034378123</v>
      </c>
      <c r="Q220" s="2">
        <f t="shared" si="11"/>
        <v>-1.8268075577356571</v>
      </c>
    </row>
    <row r="221" spans="1:17" x14ac:dyDescent="0.45">
      <c r="A221" t="s">
        <v>237</v>
      </c>
      <c r="B221">
        <v>68.8</v>
      </c>
      <c r="C221">
        <v>111.4</v>
      </c>
      <c r="D221">
        <v>1.7467E-2</v>
      </c>
      <c r="E221">
        <v>27.27</v>
      </c>
      <c r="F221">
        <v>1</v>
      </c>
      <c r="G221">
        <v>9.8920203745365101E-2</v>
      </c>
      <c r="H221">
        <v>541.71941009036595</v>
      </c>
      <c r="I221">
        <v>68.344327154008198</v>
      </c>
      <c r="K221">
        <v>9.9962808191776276E-2</v>
      </c>
      <c r="L221" s="2">
        <f t="shared" si="9"/>
        <v>1.0539853406438477</v>
      </c>
      <c r="N221">
        <v>66.529205322265625</v>
      </c>
      <c r="O221">
        <v>539.72589111328125</v>
      </c>
      <c r="P221" s="2">
        <f t="shared" si="10"/>
        <v>-2.6558485646546033</v>
      </c>
      <c r="Q221" s="2">
        <f t="shared" si="11"/>
        <v>-0.36799843977385993</v>
      </c>
    </row>
    <row r="222" spans="1:17" x14ac:dyDescent="0.45">
      <c r="A222" t="s">
        <v>238</v>
      </c>
      <c r="B222">
        <v>51.7</v>
      </c>
      <c r="C222">
        <v>110.6</v>
      </c>
      <c r="D222">
        <v>8.933E-3</v>
      </c>
      <c r="E222">
        <v>20</v>
      </c>
      <c r="F222">
        <v>1</v>
      </c>
      <c r="G222">
        <v>5.4100010544061598E-2</v>
      </c>
      <c r="H222">
        <v>497.89272159667098</v>
      </c>
      <c r="I222">
        <v>45.050222531356603</v>
      </c>
      <c r="K222">
        <v>5.1568549126386642E-2</v>
      </c>
      <c r="L222" s="2">
        <f t="shared" si="9"/>
        <v>-4.6792253683817941</v>
      </c>
      <c r="N222">
        <v>41.828174591064453</v>
      </c>
      <c r="O222">
        <v>493.992431640625</v>
      </c>
      <c r="P222" s="2">
        <f t="shared" si="10"/>
        <v>-7.1521243608718841</v>
      </c>
      <c r="Q222" s="2">
        <f t="shared" si="11"/>
        <v>-0.78335950434027368</v>
      </c>
    </row>
    <row r="223" spans="1:17" x14ac:dyDescent="0.45">
      <c r="A223" t="s">
        <v>239</v>
      </c>
      <c r="B223">
        <v>61.9</v>
      </c>
      <c r="C223">
        <v>108.3</v>
      </c>
      <c r="D223">
        <v>1.4676E-2</v>
      </c>
      <c r="E223">
        <v>26.04</v>
      </c>
      <c r="F223">
        <v>1</v>
      </c>
      <c r="G223">
        <v>9.2723362147808006E-2</v>
      </c>
      <c r="H223">
        <v>533.59129733090504</v>
      </c>
      <c r="I223">
        <v>58.669371964435697</v>
      </c>
      <c r="K223">
        <v>9.1354049742221832E-2</v>
      </c>
      <c r="L223" s="2">
        <f t="shared" si="9"/>
        <v>-1.4767717367748017</v>
      </c>
      <c r="N223">
        <v>58.531105041503913</v>
      </c>
      <c r="O223">
        <v>532.160400390625</v>
      </c>
      <c r="P223" s="2">
        <f t="shared" si="10"/>
        <v>-0.23567138747556221</v>
      </c>
      <c r="Q223" s="2">
        <f t="shared" si="11"/>
        <v>-0.26816347032599175</v>
      </c>
    </row>
    <row r="224" spans="1:17" x14ac:dyDescent="0.45">
      <c r="A224" t="s">
        <v>240</v>
      </c>
      <c r="B224">
        <v>66.900000000000006</v>
      </c>
      <c r="C224">
        <v>105.9</v>
      </c>
      <c r="D224">
        <v>1.8062999999999999E-2</v>
      </c>
      <c r="E224">
        <v>28.89</v>
      </c>
      <c r="F224">
        <v>1</v>
      </c>
      <c r="G224">
        <v>0.124646358191967</v>
      </c>
      <c r="H224">
        <v>550.20573263685003</v>
      </c>
      <c r="I224">
        <v>65.907469239712199</v>
      </c>
      <c r="K224">
        <v>0.12576256692409521</v>
      </c>
      <c r="L224" s="2">
        <f t="shared" si="9"/>
        <v>0.89550047696471591</v>
      </c>
      <c r="N224">
        <v>67.062583923339844</v>
      </c>
      <c r="O224">
        <v>545.74945068359375</v>
      </c>
      <c r="P224" s="2">
        <f t="shared" si="10"/>
        <v>1.7526309186996307</v>
      </c>
      <c r="Q224" s="2">
        <f t="shared" si="11"/>
        <v>-0.80993012048413915</v>
      </c>
    </row>
    <row r="225" spans="1:17" x14ac:dyDescent="0.45">
      <c r="A225" t="s">
        <v>241</v>
      </c>
      <c r="B225">
        <v>64.2</v>
      </c>
      <c r="C225">
        <v>130</v>
      </c>
      <c r="D225">
        <v>1.2932000000000001E-2</v>
      </c>
      <c r="E225">
        <v>25.67</v>
      </c>
      <c r="F225">
        <v>1</v>
      </c>
      <c r="G225">
        <v>5.6623090058565098E-2</v>
      </c>
      <c r="H225">
        <v>540.44829180160298</v>
      </c>
      <c r="I225">
        <v>56.934661093172103</v>
      </c>
      <c r="K225">
        <v>6.5363623201847076E-2</v>
      </c>
      <c r="L225" s="2">
        <f t="shared" si="9"/>
        <v>15.43634078295916</v>
      </c>
      <c r="N225">
        <v>59.069587707519531</v>
      </c>
      <c r="O225">
        <v>530.9024658203125</v>
      </c>
      <c r="P225" s="2">
        <f t="shared" si="10"/>
        <v>3.749783652621864</v>
      </c>
      <c r="Q225" s="2">
        <f t="shared" si="11"/>
        <v>-1.7662792400488747</v>
      </c>
    </row>
    <row r="226" spans="1:17" x14ac:dyDescent="0.45">
      <c r="A226" t="s">
        <v>242</v>
      </c>
      <c r="B226">
        <v>81.8</v>
      </c>
      <c r="C226">
        <v>123.4</v>
      </c>
      <c r="D226">
        <v>1.5984000000000002E-2</v>
      </c>
      <c r="E226">
        <v>20</v>
      </c>
      <c r="F226">
        <v>1</v>
      </c>
      <c r="G226">
        <v>7.6134607195854104E-2</v>
      </c>
      <c r="H226">
        <v>502.55525858796801</v>
      </c>
      <c r="I226">
        <v>85.311575714297106</v>
      </c>
      <c r="K226">
        <v>8.0557748675346375E-2</v>
      </c>
      <c r="L226" s="2">
        <f t="shared" si="9"/>
        <v>5.8096332829482726</v>
      </c>
      <c r="N226">
        <v>87.065841674804688</v>
      </c>
      <c r="O226">
        <v>486.83950805664063</v>
      </c>
      <c r="P226" s="2">
        <f t="shared" si="10"/>
        <v>2.056304722799287</v>
      </c>
      <c r="Q226" s="2">
        <f t="shared" si="11"/>
        <v>-3.1271686571311603</v>
      </c>
    </row>
    <row r="227" spans="1:17" x14ac:dyDescent="0.45">
      <c r="A227" t="s">
        <v>243</v>
      </c>
      <c r="B227">
        <v>46.9</v>
      </c>
      <c r="C227">
        <v>110.8</v>
      </c>
      <c r="D227">
        <v>8.175E-3</v>
      </c>
      <c r="E227">
        <v>22.1</v>
      </c>
      <c r="F227">
        <v>1</v>
      </c>
      <c r="G227">
        <v>4.8530969768762498E-2</v>
      </c>
      <c r="H227">
        <v>510.54348305032499</v>
      </c>
      <c r="I227">
        <v>38.044029545173998</v>
      </c>
      <c r="K227">
        <v>5.1184691488742828E-2</v>
      </c>
      <c r="L227" s="2">
        <f t="shared" si="9"/>
        <v>5.4680995097040652</v>
      </c>
      <c r="N227">
        <v>34.686214447021477</v>
      </c>
      <c r="O227">
        <v>508.08343505859381</v>
      </c>
      <c r="P227" s="2">
        <f t="shared" si="10"/>
        <v>-8.8261289308626107</v>
      </c>
      <c r="Q227" s="2">
        <f t="shared" si="11"/>
        <v>-0.48184886760932311</v>
      </c>
    </row>
    <row r="228" spans="1:17" x14ac:dyDescent="0.45">
      <c r="A228" t="s">
        <v>244</v>
      </c>
      <c r="B228">
        <v>54.8</v>
      </c>
      <c r="C228">
        <v>130</v>
      </c>
      <c r="D228">
        <v>9.1590000000000005E-3</v>
      </c>
      <c r="E228">
        <v>22.3</v>
      </c>
      <c r="F228">
        <v>1</v>
      </c>
      <c r="G228">
        <v>4.09573949873447E-2</v>
      </c>
      <c r="H228">
        <v>520.22829180160204</v>
      </c>
      <c r="I228">
        <v>45.671433395451302</v>
      </c>
      <c r="K228">
        <v>4.1899122297763818E-2</v>
      </c>
      <c r="L228" s="2">
        <f t="shared" si="9"/>
        <v>2.2992851735568114</v>
      </c>
      <c r="N228">
        <v>46.798534393310547</v>
      </c>
      <c r="O228">
        <v>509.02090454101563</v>
      </c>
      <c r="P228" s="2">
        <f t="shared" si="10"/>
        <v>2.4678467787514187</v>
      </c>
      <c r="Q228" s="2">
        <f t="shared" si="11"/>
        <v>-2.1543209850764025</v>
      </c>
    </row>
    <row r="229" spans="1:17" x14ac:dyDescent="0.45">
      <c r="A229" t="s">
        <v>245</v>
      </c>
      <c r="B229">
        <v>42.9</v>
      </c>
      <c r="C229">
        <v>104.3</v>
      </c>
      <c r="D229">
        <v>8.1740000000000007E-3</v>
      </c>
      <c r="E229">
        <v>26.12</v>
      </c>
      <c r="F229">
        <v>1</v>
      </c>
      <c r="G229">
        <v>6.1617240309715202E-2</v>
      </c>
      <c r="H229">
        <v>533.304729035729</v>
      </c>
      <c r="I229">
        <v>32.8799837407349</v>
      </c>
      <c r="K229">
        <v>6.5908089280128479E-2</v>
      </c>
      <c r="L229" s="2">
        <f t="shared" si="9"/>
        <v>6.9637149421908431</v>
      </c>
      <c r="N229">
        <v>32.350311279296882</v>
      </c>
      <c r="O229">
        <v>523.75482177734375</v>
      </c>
      <c r="P229" s="2">
        <f t="shared" si="10"/>
        <v>-1.6109267742179836</v>
      </c>
      <c r="Q229" s="2">
        <f t="shared" si="11"/>
        <v>-1.7907036518600694</v>
      </c>
    </row>
    <row r="230" spans="1:17" x14ac:dyDescent="0.45">
      <c r="A230" t="s">
        <v>246</v>
      </c>
      <c r="B230">
        <v>84.4</v>
      </c>
      <c r="C230">
        <v>130</v>
      </c>
      <c r="D230">
        <v>1.8057E-2</v>
      </c>
      <c r="E230">
        <v>24.28</v>
      </c>
      <c r="F230">
        <v>1</v>
      </c>
      <c r="G230">
        <v>7.9740189015865298E-2</v>
      </c>
      <c r="H230">
        <v>532.10829180160295</v>
      </c>
      <c r="I230">
        <v>83.435219338029597</v>
      </c>
      <c r="K230">
        <v>8.7855026125907898E-2</v>
      </c>
      <c r="L230" s="2">
        <f t="shared" si="9"/>
        <v>10.176596281240382</v>
      </c>
      <c r="N230">
        <v>83.413742065429688</v>
      </c>
      <c r="O230">
        <v>519.49176025390625</v>
      </c>
      <c r="P230" s="2">
        <f t="shared" si="10"/>
        <v>-2.5741255036313457E-2</v>
      </c>
      <c r="Q230" s="2">
        <f t="shared" si="11"/>
        <v>-2.3710458457581751</v>
      </c>
    </row>
    <row r="231" spans="1:17" x14ac:dyDescent="0.45">
      <c r="A231" t="s">
        <v>247</v>
      </c>
      <c r="B231">
        <v>77.3</v>
      </c>
      <c r="C231">
        <v>111</v>
      </c>
      <c r="D231">
        <v>2.5257000000000002E-2</v>
      </c>
      <c r="E231">
        <v>35</v>
      </c>
      <c r="F231">
        <v>1</v>
      </c>
      <c r="G231">
        <v>0.14031124114990201</v>
      </c>
      <c r="H231">
        <v>587.99484915657399</v>
      </c>
      <c r="I231">
        <v>78.853350944168696</v>
      </c>
      <c r="K231">
        <v>0.14780397713184359</v>
      </c>
      <c r="L231" s="2">
        <f t="shared" si="9"/>
        <v>5.3400824627705301</v>
      </c>
      <c r="N231">
        <v>80.041549682617188</v>
      </c>
      <c r="O231">
        <v>587.9852294921875</v>
      </c>
      <c r="P231" s="2">
        <f t="shared" si="10"/>
        <v>1.5068462205110136</v>
      </c>
      <c r="Q231" s="2">
        <f t="shared" si="11"/>
        <v>-1.6360116760019191E-3</v>
      </c>
    </row>
    <row r="232" spans="1:17" x14ac:dyDescent="0.45">
      <c r="A232" t="s">
        <v>248</v>
      </c>
      <c r="B232">
        <v>44.6</v>
      </c>
      <c r="C232">
        <v>115.1</v>
      </c>
      <c r="D232">
        <v>6.7619999999999998E-3</v>
      </c>
      <c r="E232">
        <v>20</v>
      </c>
      <c r="F232">
        <v>1</v>
      </c>
      <c r="G232">
        <v>3.6540187895297997E-2</v>
      </c>
      <c r="H232">
        <v>499.18764922301898</v>
      </c>
      <c r="I232">
        <v>34.843947340520202</v>
      </c>
      <c r="K232">
        <v>3.6342065781354897E-2</v>
      </c>
      <c r="L232" s="2">
        <f t="shared" si="9"/>
        <v>-0.54220332558441608</v>
      </c>
      <c r="N232">
        <v>31.294305801391602</v>
      </c>
      <c r="O232">
        <v>496.82046508789063</v>
      </c>
      <c r="P232" s="2">
        <f t="shared" si="10"/>
        <v>-10.187254344173297</v>
      </c>
      <c r="Q232" s="2">
        <f t="shared" si="11"/>
        <v>-0.47420727231790594</v>
      </c>
    </row>
    <row r="233" spans="1:17" x14ac:dyDescent="0.45">
      <c r="A233" t="s">
        <v>249</v>
      </c>
      <c r="B233">
        <v>58.8</v>
      </c>
      <c r="C233">
        <v>106.3</v>
      </c>
      <c r="D233">
        <v>1.268E-2</v>
      </c>
      <c r="E233">
        <v>23.61</v>
      </c>
      <c r="F233">
        <v>1</v>
      </c>
      <c r="G233">
        <v>8.7791502475738498E-2</v>
      </c>
      <c r="H233">
        <v>518.60123671078304</v>
      </c>
      <c r="I233">
        <v>55.519385891547799</v>
      </c>
      <c r="K233">
        <v>8.6031801998615265E-2</v>
      </c>
      <c r="L233" s="2">
        <f t="shared" si="9"/>
        <v>-2.0044086585823409</v>
      </c>
      <c r="N233">
        <v>54.91937255859375</v>
      </c>
      <c r="O233">
        <v>516.068359375</v>
      </c>
      <c r="P233" s="2">
        <f t="shared" si="10"/>
        <v>-1.0807276112998112</v>
      </c>
      <c r="Q233" s="2">
        <f t="shared" si="11"/>
        <v>-0.48840557185088107</v>
      </c>
    </row>
    <row r="234" spans="1:17" x14ac:dyDescent="0.45">
      <c r="A234" t="s">
        <v>250</v>
      </c>
      <c r="B234">
        <v>47.2</v>
      </c>
      <c r="C234">
        <v>113.8</v>
      </c>
      <c r="D234">
        <v>1.1792E-2</v>
      </c>
      <c r="E234">
        <v>35</v>
      </c>
      <c r="F234">
        <v>1</v>
      </c>
      <c r="G234">
        <v>6.0534827411174698E-2</v>
      </c>
      <c r="H234">
        <v>588.77962600710998</v>
      </c>
      <c r="I234">
        <v>36.820841901699602</v>
      </c>
      <c r="K234">
        <v>6.8850718438625336E-2</v>
      </c>
      <c r="L234" s="2">
        <f t="shared" si="9"/>
        <v>13.737366377483928</v>
      </c>
      <c r="N234">
        <v>36.848163604736328</v>
      </c>
      <c r="O234">
        <v>590.39837646484375</v>
      </c>
      <c r="P234" s="2">
        <f t="shared" si="10"/>
        <v>7.4201733653094945E-2</v>
      </c>
      <c r="Q234" s="2">
        <f t="shared" si="11"/>
        <v>0.27493316450359306</v>
      </c>
    </row>
    <row r="235" spans="1:17" x14ac:dyDescent="0.45">
      <c r="A235" t="s">
        <v>251</v>
      </c>
      <c r="B235">
        <v>51.9</v>
      </c>
      <c r="C235">
        <v>110.1</v>
      </c>
      <c r="D235">
        <v>9.0109999999999999E-3</v>
      </c>
      <c r="E235">
        <v>20</v>
      </c>
      <c r="F235">
        <v>1</v>
      </c>
      <c r="G235">
        <v>5.5412303656339597E-2</v>
      </c>
      <c r="H235">
        <v>497.76843967725802</v>
      </c>
      <c r="I235">
        <v>45.752079045835103</v>
      </c>
      <c r="K235">
        <v>5.3208876401185989E-2</v>
      </c>
      <c r="L235" s="2">
        <f t="shared" si="9"/>
        <v>-3.9764224003733841</v>
      </c>
      <c r="N235">
        <v>42.542583465576172</v>
      </c>
      <c r="O235">
        <v>493.59637451171881</v>
      </c>
      <c r="P235" s="2">
        <f t="shared" si="10"/>
        <v>-7.0149721000516969</v>
      </c>
      <c r="Q235" s="2">
        <f t="shared" si="11"/>
        <v>-0.83815381470233097</v>
      </c>
    </row>
    <row r="236" spans="1:17" x14ac:dyDescent="0.45">
      <c r="A236" t="s">
        <v>252</v>
      </c>
      <c r="B236">
        <v>51.9</v>
      </c>
      <c r="C236">
        <v>109.5</v>
      </c>
      <c r="D236">
        <v>1.0585000000000001E-2</v>
      </c>
      <c r="E236">
        <v>24.51</v>
      </c>
      <c r="F236">
        <v>1</v>
      </c>
      <c r="G236">
        <v>6.4573794603347695E-2</v>
      </c>
      <c r="H236">
        <v>524.68418257069902</v>
      </c>
      <c r="I236">
        <v>44.7210651358345</v>
      </c>
      <c r="K236">
        <v>6.5513759851455688E-2</v>
      </c>
      <c r="L236" s="2">
        <f t="shared" si="9"/>
        <v>1.4556450552144924</v>
      </c>
      <c r="N236">
        <v>43.618045806884773</v>
      </c>
      <c r="O236">
        <v>525.0850830078125</v>
      </c>
      <c r="P236" s="2">
        <f t="shared" si="10"/>
        <v>-2.466442437360219</v>
      </c>
      <c r="Q236" s="2">
        <f t="shared" si="11"/>
        <v>7.6407951760477974E-2</v>
      </c>
    </row>
    <row r="237" spans="1:17" x14ac:dyDescent="0.45">
      <c r="A237" t="s">
        <v>253</v>
      </c>
      <c r="B237">
        <v>43.5</v>
      </c>
      <c r="C237">
        <v>109.1</v>
      </c>
      <c r="D237">
        <v>6.9649999999999998E-3</v>
      </c>
      <c r="E237">
        <v>21.17</v>
      </c>
      <c r="F237">
        <v>1</v>
      </c>
      <c r="G237">
        <v>4.3917033821344299E-2</v>
      </c>
      <c r="H237">
        <v>504.550927066849</v>
      </c>
      <c r="I237">
        <v>33.403510740797003</v>
      </c>
      <c r="K237">
        <v>4.8214327543973923E-2</v>
      </c>
      <c r="L237" s="2">
        <f t="shared" si="9"/>
        <v>9.7850272404806127</v>
      </c>
      <c r="N237">
        <v>31.375314712524411</v>
      </c>
      <c r="O237">
        <v>502.99722290039063</v>
      </c>
      <c r="P237" s="2">
        <f t="shared" si="10"/>
        <v>-6.0718049788565427</v>
      </c>
      <c r="Q237" s="2">
        <f t="shared" si="11"/>
        <v>-0.30793802629412675</v>
      </c>
    </row>
    <row r="238" spans="1:17" x14ac:dyDescent="0.45">
      <c r="A238" t="s">
        <v>254</v>
      </c>
      <c r="B238">
        <v>71.5</v>
      </c>
      <c r="C238">
        <v>110.5</v>
      </c>
      <c r="D238">
        <v>1.5073E-2</v>
      </c>
      <c r="E238">
        <v>21.01</v>
      </c>
      <c r="F238">
        <v>1</v>
      </c>
      <c r="G238">
        <v>9.0950585901737199E-2</v>
      </c>
      <c r="H238">
        <v>503.92756648041802</v>
      </c>
      <c r="I238">
        <v>72.887307112415499</v>
      </c>
      <c r="K238">
        <v>8.993539959192276E-2</v>
      </c>
      <c r="L238" s="2">
        <f t="shared" si="9"/>
        <v>-1.1161954590498671</v>
      </c>
      <c r="N238">
        <v>75.66278076171875</v>
      </c>
      <c r="O238">
        <v>498.85296630859381</v>
      </c>
      <c r="P238" s="2">
        <f t="shared" si="10"/>
        <v>3.8078970938281262</v>
      </c>
      <c r="Q238" s="2">
        <f t="shared" si="11"/>
        <v>-1.0070098381929673</v>
      </c>
    </row>
    <row r="239" spans="1:17" x14ac:dyDescent="0.45">
      <c r="A239" t="s">
        <v>255</v>
      </c>
      <c r="B239">
        <v>60</v>
      </c>
      <c r="C239">
        <v>109.4</v>
      </c>
      <c r="D239">
        <v>1.7786E-2</v>
      </c>
      <c r="E239">
        <v>35</v>
      </c>
      <c r="F239">
        <v>1</v>
      </c>
      <c r="G239">
        <v>0.10422970354557</v>
      </c>
      <c r="H239">
        <v>587.60065145266105</v>
      </c>
      <c r="I239">
        <v>55.256113542491001</v>
      </c>
      <c r="K239">
        <v>0.1074542626738548</v>
      </c>
      <c r="L239" s="2">
        <f t="shared" si="9"/>
        <v>3.0937045953268019</v>
      </c>
      <c r="N239">
        <v>54.531597137451172</v>
      </c>
      <c r="O239">
        <v>587.11981201171875</v>
      </c>
      <c r="P239" s="2">
        <f t="shared" si="10"/>
        <v>-1.3111968225609787</v>
      </c>
      <c r="Q239" s="2">
        <f t="shared" si="11"/>
        <v>-8.1830991806012734E-2</v>
      </c>
    </row>
    <row r="240" spans="1:17" x14ac:dyDescent="0.45">
      <c r="A240" t="s">
        <v>256</v>
      </c>
      <c r="B240">
        <v>60.5</v>
      </c>
      <c r="C240">
        <v>130</v>
      </c>
      <c r="D240">
        <v>1.227E-2</v>
      </c>
      <c r="E240">
        <v>26.86</v>
      </c>
      <c r="F240">
        <v>1</v>
      </c>
      <c r="G240">
        <v>5.33724464476108E-2</v>
      </c>
      <c r="H240">
        <v>547.58829180160296</v>
      </c>
      <c r="I240">
        <v>51.377227599873201</v>
      </c>
      <c r="K240">
        <v>6.4229853451251984E-2</v>
      </c>
      <c r="L240" s="2">
        <f t="shared" si="9"/>
        <v>20.342719373560236</v>
      </c>
      <c r="N240">
        <v>53.876972198486328</v>
      </c>
      <c r="O240">
        <v>536.9888916015625</v>
      </c>
      <c r="P240" s="2">
        <f t="shared" si="10"/>
        <v>4.8654719520507879</v>
      </c>
      <c r="Q240" s="2">
        <f t="shared" si="11"/>
        <v>-1.9356513568191371</v>
      </c>
    </row>
    <row r="241" spans="1:17" x14ac:dyDescent="0.45">
      <c r="A241" t="s">
        <v>257</v>
      </c>
      <c r="B241">
        <v>61</v>
      </c>
      <c r="C241">
        <v>106.3</v>
      </c>
      <c r="D241">
        <v>1.8504E-2</v>
      </c>
      <c r="E241">
        <v>35</v>
      </c>
      <c r="F241">
        <v>1</v>
      </c>
      <c r="G241">
        <v>0.122919231653213</v>
      </c>
      <c r="H241">
        <v>586.94123671078296</v>
      </c>
      <c r="I241">
        <v>57.328227217545702</v>
      </c>
      <c r="K241">
        <v>0.12590096890926361</v>
      </c>
      <c r="L241" s="2">
        <f t="shared" si="9"/>
        <v>2.4257695203162859</v>
      </c>
      <c r="N241">
        <v>57.885944366455078</v>
      </c>
      <c r="O241">
        <v>590.31536865234375</v>
      </c>
      <c r="P241" s="2">
        <f t="shared" si="10"/>
        <v>0.97284911112458494</v>
      </c>
      <c r="Q241" s="2">
        <f t="shared" si="11"/>
        <v>0.57486707876744469</v>
      </c>
    </row>
    <row r="242" spans="1:17" x14ac:dyDescent="0.45">
      <c r="A242" t="s">
        <v>258</v>
      </c>
      <c r="B242">
        <v>73.400000000000006</v>
      </c>
      <c r="C242">
        <v>119.8</v>
      </c>
      <c r="D242">
        <v>1.5151E-2</v>
      </c>
      <c r="E242">
        <v>21.76</v>
      </c>
      <c r="F242">
        <v>1</v>
      </c>
      <c r="G242">
        <v>7.4306465685367501E-2</v>
      </c>
      <c r="H242">
        <v>511.47949386692198</v>
      </c>
      <c r="I242">
        <v>73.382253939707994</v>
      </c>
      <c r="K242">
        <v>7.5059771537780762E-2</v>
      </c>
      <c r="L242" s="2">
        <f t="shared" si="9"/>
        <v>1.0137823747437398</v>
      </c>
      <c r="N242">
        <v>73.418891906738281</v>
      </c>
      <c r="O242">
        <v>505.70309448242188</v>
      </c>
      <c r="P242" s="2">
        <f t="shared" si="10"/>
        <v>4.9927557499651047E-2</v>
      </c>
      <c r="Q242" s="2">
        <f t="shared" si="11"/>
        <v>-1.1293511184249017</v>
      </c>
    </row>
    <row r="243" spans="1:17" x14ac:dyDescent="0.45">
      <c r="A243" t="s">
        <v>259</v>
      </c>
      <c r="B243">
        <v>85.2</v>
      </c>
      <c r="C243">
        <v>113.4</v>
      </c>
      <c r="D243">
        <v>2.8340000000000001E-2</v>
      </c>
      <c r="E243">
        <v>35</v>
      </c>
      <c r="F243">
        <v>1</v>
      </c>
      <c r="G243">
        <v>0.146962150931358</v>
      </c>
      <c r="H243">
        <v>588.659800512993</v>
      </c>
      <c r="I243">
        <v>88.056010494079601</v>
      </c>
      <c r="K243">
        <v>0.16088831424713129</v>
      </c>
      <c r="L243" s="2">
        <f t="shared" si="9"/>
        <v>9.4760203409637196</v>
      </c>
      <c r="N243">
        <v>88.714500427246094</v>
      </c>
      <c r="O243">
        <v>590.52972412109375</v>
      </c>
      <c r="P243" s="2">
        <f t="shared" si="10"/>
        <v>0.74780804793645073</v>
      </c>
      <c r="Q243" s="2">
        <f t="shared" si="11"/>
        <v>0.31765777219222141</v>
      </c>
    </row>
    <row r="244" spans="1:17" x14ac:dyDescent="0.45">
      <c r="A244" t="s">
        <v>260</v>
      </c>
      <c r="B244">
        <v>62.1</v>
      </c>
      <c r="C244">
        <v>106.6</v>
      </c>
      <c r="D244">
        <v>1.4286999999999999E-2</v>
      </c>
      <c r="E244">
        <v>24.8</v>
      </c>
      <c r="F244">
        <v>1</v>
      </c>
      <c r="G244">
        <v>9.7145512700080802E-2</v>
      </c>
      <c r="H244">
        <v>525.79926851304299</v>
      </c>
      <c r="I244">
        <v>60.064242906299903</v>
      </c>
      <c r="K244">
        <v>9.483201801776886E-2</v>
      </c>
      <c r="L244" s="2">
        <f t="shared" si="9"/>
        <v>-2.3814735421227726</v>
      </c>
      <c r="N244">
        <v>59.67254638671875</v>
      </c>
      <c r="O244">
        <v>521.9124755859375</v>
      </c>
      <c r="P244" s="2">
        <f t="shared" si="10"/>
        <v>-0.65212928795622815</v>
      </c>
      <c r="Q244" s="2">
        <f t="shared" si="11"/>
        <v>-0.73921611532425957</v>
      </c>
    </row>
    <row r="245" spans="1:17" x14ac:dyDescent="0.45">
      <c r="A245" t="s">
        <v>261</v>
      </c>
      <c r="B245">
        <v>85.9</v>
      </c>
      <c r="C245">
        <v>119.3</v>
      </c>
      <c r="D245">
        <v>1.9810999999999999E-2</v>
      </c>
      <c r="E245">
        <v>23.37</v>
      </c>
      <c r="F245">
        <v>1</v>
      </c>
      <c r="G245">
        <v>9.6822611987590707E-2</v>
      </c>
      <c r="H245">
        <v>520.93475364724804</v>
      </c>
      <c r="I245">
        <v>90.405942616900901</v>
      </c>
      <c r="K245">
        <v>0.1023674309253693</v>
      </c>
      <c r="L245" s="2">
        <f t="shared" si="9"/>
        <v>5.7267809904666187</v>
      </c>
      <c r="N245">
        <v>92.586112976074219</v>
      </c>
      <c r="O245">
        <v>513.94647216796875</v>
      </c>
      <c r="P245" s="2">
        <f t="shared" si="10"/>
        <v>2.4115343483689822</v>
      </c>
      <c r="Q245" s="2">
        <f t="shared" si="11"/>
        <v>-1.3414888199245432</v>
      </c>
    </row>
    <row r="246" spans="1:17" x14ac:dyDescent="0.45">
      <c r="A246" t="s">
        <v>262</v>
      </c>
      <c r="B246">
        <v>55.8</v>
      </c>
      <c r="C246">
        <v>118.1</v>
      </c>
      <c r="D246">
        <v>1.0456E-2</v>
      </c>
      <c r="E246">
        <v>22.25</v>
      </c>
      <c r="F246">
        <v>1</v>
      </c>
      <c r="G246">
        <v>5.2498549222946098E-2</v>
      </c>
      <c r="H246">
        <v>513.74408578010605</v>
      </c>
      <c r="I246">
        <v>49.272971259462601</v>
      </c>
      <c r="K246">
        <v>5.744626373052597E-2</v>
      </c>
      <c r="L246" s="2">
        <f t="shared" si="9"/>
        <v>9.424478544289606</v>
      </c>
      <c r="N246">
        <v>49.435909271240227</v>
      </c>
      <c r="O246">
        <v>511.58721923828119</v>
      </c>
      <c r="P246" s="2">
        <f t="shared" si="10"/>
        <v>0.33068436429299991</v>
      </c>
      <c r="Q246" s="2">
        <f t="shared" si="11"/>
        <v>-0.41983287039688499</v>
      </c>
    </row>
    <row r="247" spans="1:17" x14ac:dyDescent="0.45">
      <c r="A247" t="s">
        <v>263</v>
      </c>
      <c r="B247">
        <v>88.8</v>
      </c>
      <c r="C247">
        <v>118.8</v>
      </c>
      <c r="D247">
        <v>2.6405000000000001E-2</v>
      </c>
      <c r="E247">
        <v>31.56</v>
      </c>
      <c r="F247">
        <v>1</v>
      </c>
      <c r="G247">
        <v>0.124177046120166</v>
      </c>
      <c r="H247">
        <v>569.87513751496203</v>
      </c>
      <c r="I247">
        <v>92.0410956801162</v>
      </c>
      <c r="K247">
        <v>0.12989743053913119</v>
      </c>
      <c r="L247" s="2">
        <f t="shared" si="9"/>
        <v>4.6066359264413332</v>
      </c>
      <c r="N247">
        <v>92.831008911132813</v>
      </c>
      <c r="O247">
        <v>564.415283203125</v>
      </c>
      <c r="P247" s="2">
        <f t="shared" si="10"/>
        <v>0.8582179788058073</v>
      </c>
      <c r="Q247" s="2">
        <f t="shared" si="11"/>
        <v>-0.95807905142969785</v>
      </c>
    </row>
    <row r="248" spans="1:17" x14ac:dyDescent="0.45">
      <c r="A248" t="s">
        <v>264</v>
      </c>
      <c r="B248">
        <v>68.7</v>
      </c>
      <c r="C248">
        <v>130</v>
      </c>
      <c r="D248">
        <v>1.4305999999999999E-2</v>
      </c>
      <c r="E248">
        <v>25.81</v>
      </c>
      <c r="F248">
        <v>1</v>
      </c>
      <c r="G248">
        <v>6.2601372599601704E-2</v>
      </c>
      <c r="H248">
        <v>541.28829180160199</v>
      </c>
      <c r="I248">
        <v>62.073763616112103</v>
      </c>
      <c r="K248">
        <v>7.138592004776001E-2</v>
      </c>
      <c r="L248" s="2">
        <f t="shared" si="9"/>
        <v>14.032515715500777</v>
      </c>
      <c r="N248">
        <v>64.22723388671875</v>
      </c>
      <c r="O248">
        <v>533.41290283203125</v>
      </c>
      <c r="P248" s="2">
        <f t="shared" si="10"/>
        <v>3.469211700976488</v>
      </c>
      <c r="Q248" s="2">
        <f t="shared" si="11"/>
        <v>-1.4549342908117613</v>
      </c>
    </row>
    <row r="249" spans="1:17" x14ac:dyDescent="0.45">
      <c r="A249" t="s">
        <v>265</v>
      </c>
      <c r="B249">
        <v>72.3</v>
      </c>
      <c r="C249">
        <v>116.1</v>
      </c>
      <c r="D249">
        <v>1.8065000000000001E-2</v>
      </c>
      <c r="E249">
        <v>27.07</v>
      </c>
      <c r="F249">
        <v>1</v>
      </c>
      <c r="G249">
        <v>9.1304145753383595E-2</v>
      </c>
      <c r="H249">
        <v>541.941485228494</v>
      </c>
      <c r="I249">
        <v>71.750492430650695</v>
      </c>
      <c r="K249">
        <v>9.0845204889774323E-2</v>
      </c>
      <c r="L249" s="2">
        <f t="shared" si="9"/>
        <v>-0.50265062974127295</v>
      </c>
      <c r="N249">
        <v>71.943679809570313</v>
      </c>
      <c r="O249">
        <v>540.63818359375</v>
      </c>
      <c r="P249" s="2">
        <f t="shared" si="10"/>
        <v>0.26924885443307539</v>
      </c>
      <c r="Q249" s="2">
        <f t="shared" si="11"/>
        <v>-0.24048751945876648</v>
      </c>
    </row>
    <row r="250" spans="1:17" x14ac:dyDescent="0.45">
      <c r="A250" t="s">
        <v>266</v>
      </c>
      <c r="B250">
        <v>68.2</v>
      </c>
      <c r="C250">
        <v>115.6</v>
      </c>
      <c r="D250">
        <v>1.7822000000000001E-2</v>
      </c>
      <c r="E250">
        <v>29.32</v>
      </c>
      <c r="F250">
        <v>1</v>
      </c>
      <c r="G250">
        <v>8.9949622750282204E-2</v>
      </c>
      <c r="H250">
        <v>555.27234926537506</v>
      </c>
      <c r="I250">
        <v>65.806248569128996</v>
      </c>
      <c r="K250">
        <v>9.3436144292354584E-2</v>
      </c>
      <c r="L250" s="2">
        <f t="shared" si="9"/>
        <v>3.8760824508977061</v>
      </c>
      <c r="N250">
        <v>65.302169799804688</v>
      </c>
      <c r="O250">
        <v>557.84954833984375</v>
      </c>
      <c r="P250" s="2">
        <f t="shared" si="10"/>
        <v>-0.76600441490716153</v>
      </c>
      <c r="Q250" s="2">
        <f t="shared" si="11"/>
        <v>0.4641324348093917</v>
      </c>
    </row>
    <row r="251" spans="1:17" x14ac:dyDescent="0.45">
      <c r="A251" t="s">
        <v>267</v>
      </c>
      <c r="B251">
        <v>51.6</v>
      </c>
      <c r="C251">
        <v>130</v>
      </c>
      <c r="D251">
        <v>8.7019999999999997E-3</v>
      </c>
      <c r="E251">
        <v>23.7</v>
      </c>
      <c r="F251">
        <v>1</v>
      </c>
      <c r="G251">
        <v>3.8559582084417302E-2</v>
      </c>
      <c r="H251">
        <v>528.62829180160304</v>
      </c>
      <c r="I251">
        <v>41.084479458333803</v>
      </c>
      <c r="K251">
        <v>4.0716838091611862E-2</v>
      </c>
      <c r="L251" s="2">
        <f t="shared" si="9"/>
        <v>5.5946042217774741</v>
      </c>
      <c r="N251">
        <v>42.743865966796882</v>
      </c>
      <c r="O251">
        <v>517.01336669921875</v>
      </c>
      <c r="P251" s="2">
        <f t="shared" si="10"/>
        <v>4.0389619884218346</v>
      </c>
      <c r="Q251" s="2">
        <f t="shared" si="11"/>
        <v>-2.1971818917976931</v>
      </c>
    </row>
    <row r="252" spans="1:17" x14ac:dyDescent="0.45">
      <c r="A252" t="s">
        <v>268</v>
      </c>
      <c r="B252">
        <v>50.6</v>
      </c>
      <c r="C252">
        <v>123.5</v>
      </c>
      <c r="D252">
        <v>7.9129999999999999E-3</v>
      </c>
      <c r="E252">
        <v>20</v>
      </c>
      <c r="F252">
        <v>1</v>
      </c>
      <c r="G252">
        <v>3.7622597068548203E-2</v>
      </c>
      <c r="H252">
        <v>502.605007345704</v>
      </c>
      <c r="I252">
        <v>42.4503131983057</v>
      </c>
      <c r="K252">
        <v>3.8841314613819122E-2</v>
      </c>
      <c r="L252" s="2">
        <f t="shared" si="9"/>
        <v>3.2393232797045401</v>
      </c>
      <c r="N252">
        <v>42.966579437255859</v>
      </c>
      <c r="O252">
        <v>493.0172119140625</v>
      </c>
      <c r="P252" s="2">
        <f t="shared" si="10"/>
        <v>1.2161659126952322</v>
      </c>
      <c r="Q252" s="2">
        <f t="shared" si="11"/>
        <v>-1.9076203562466254</v>
      </c>
    </row>
    <row r="253" spans="1:17" x14ac:dyDescent="0.45">
      <c r="A253" t="s">
        <v>269</v>
      </c>
      <c r="B253">
        <v>64.8</v>
      </c>
      <c r="C253">
        <v>127</v>
      </c>
      <c r="D253">
        <v>1.3459E-2</v>
      </c>
      <c r="E253">
        <v>25.48</v>
      </c>
      <c r="F253">
        <v>1</v>
      </c>
      <c r="G253">
        <v>5.9832025319337803E-2</v>
      </c>
      <c r="H253">
        <v>537.39051307926502</v>
      </c>
      <c r="I253">
        <v>58.822053129483102</v>
      </c>
      <c r="K253">
        <v>6.7615903913974762E-2</v>
      </c>
      <c r="L253" s="2">
        <f t="shared" si="9"/>
        <v>13.009552247467038</v>
      </c>
      <c r="N253">
        <v>60.838554382324219</v>
      </c>
      <c r="O253">
        <v>528.866943359375</v>
      </c>
      <c r="P253" s="2">
        <f t="shared" si="10"/>
        <v>3.4281381651236438</v>
      </c>
      <c r="Q253" s="2">
        <f t="shared" si="11"/>
        <v>-1.5861034968871499</v>
      </c>
    </row>
    <row r="254" spans="1:17" x14ac:dyDescent="0.45">
      <c r="A254" t="s">
        <v>270</v>
      </c>
      <c r="B254">
        <v>86</v>
      </c>
      <c r="C254">
        <v>130</v>
      </c>
      <c r="D254">
        <v>1.8019E-2</v>
      </c>
      <c r="E254">
        <v>23.43</v>
      </c>
      <c r="F254">
        <v>1</v>
      </c>
      <c r="G254">
        <v>7.99859538674354E-2</v>
      </c>
      <c r="H254">
        <v>527.00829180160201</v>
      </c>
      <c r="I254">
        <v>86.103539806903001</v>
      </c>
      <c r="K254">
        <v>8.8325753808021545E-2</v>
      </c>
      <c r="L254" s="2">
        <f t="shared" si="9"/>
        <v>10.426580589897197</v>
      </c>
      <c r="N254">
        <v>86.234100341796875</v>
      </c>
      <c r="O254">
        <v>513.145263671875</v>
      </c>
      <c r="P254" s="2">
        <f t="shared" si="10"/>
        <v>0.15163201790155315</v>
      </c>
      <c r="Q254" s="2">
        <f t="shared" si="11"/>
        <v>-2.6305142339099854</v>
      </c>
    </row>
    <row r="255" spans="1:17" x14ac:dyDescent="0.45">
      <c r="A255" t="s">
        <v>271</v>
      </c>
      <c r="B255">
        <v>58.9</v>
      </c>
      <c r="C255">
        <v>109.4</v>
      </c>
      <c r="D255">
        <v>1.3667E-2</v>
      </c>
      <c r="E255">
        <v>26.31</v>
      </c>
      <c r="F255">
        <v>1</v>
      </c>
      <c r="G255">
        <v>8.2895778119564001E-2</v>
      </c>
      <c r="H255">
        <v>535.46065145266095</v>
      </c>
      <c r="I255">
        <v>54.214330086130403</v>
      </c>
      <c r="K255">
        <v>8.4335334599018097E-2</v>
      </c>
      <c r="L255" s="2">
        <f t="shared" si="9"/>
        <v>1.7365860024593345</v>
      </c>
      <c r="N255">
        <v>54.125213623046882</v>
      </c>
      <c r="O255">
        <v>535.80657958984375</v>
      </c>
      <c r="P255" s="2">
        <f t="shared" si="10"/>
        <v>-0.16437805824021273</v>
      </c>
      <c r="Q255" s="2">
        <f t="shared" si="11"/>
        <v>6.4603839001861452E-2</v>
      </c>
    </row>
    <row r="256" spans="1:17" x14ac:dyDescent="0.45">
      <c r="A256" t="s">
        <v>272</v>
      </c>
      <c r="B256">
        <v>67.5</v>
      </c>
      <c r="C256">
        <v>111.3</v>
      </c>
      <c r="D256">
        <v>2.0902E-2</v>
      </c>
      <c r="E256">
        <v>35</v>
      </c>
      <c r="F256">
        <v>1</v>
      </c>
      <c r="G256">
        <v>0.11504349112510601</v>
      </c>
      <c r="H256">
        <v>588.07304009823702</v>
      </c>
      <c r="I256">
        <v>64.979365485791007</v>
      </c>
      <c r="K256">
        <v>0.11941827088594439</v>
      </c>
      <c r="L256" s="2">
        <f t="shared" si="9"/>
        <v>3.8027181877512382</v>
      </c>
      <c r="N256">
        <v>66.322731018066406</v>
      </c>
      <c r="O256">
        <v>583.0997314453125</v>
      </c>
      <c r="P256" s="2">
        <f t="shared" si="10"/>
        <v>2.0673724993038785</v>
      </c>
      <c r="Q256" s="2">
        <f t="shared" si="11"/>
        <v>-0.8456957408035114</v>
      </c>
    </row>
    <row r="257" spans="1:17" x14ac:dyDescent="0.45">
      <c r="A257" t="s">
        <v>273</v>
      </c>
      <c r="B257">
        <v>77.599999999999994</v>
      </c>
      <c r="C257">
        <v>110.9</v>
      </c>
      <c r="D257">
        <v>2.4298E-2</v>
      </c>
      <c r="E257">
        <v>33.19</v>
      </c>
      <c r="F257">
        <v>1</v>
      </c>
      <c r="G257">
        <v>0.136258900165557</v>
      </c>
      <c r="H257">
        <v>577.10909029334505</v>
      </c>
      <c r="I257">
        <v>78.339957168256603</v>
      </c>
      <c r="K257">
        <v>0.1444150507450104</v>
      </c>
      <c r="L257" s="2">
        <f t="shared" si="9"/>
        <v>5.9857745582442936</v>
      </c>
      <c r="N257">
        <v>80.980697631835938</v>
      </c>
      <c r="O257">
        <v>579.24017333984375</v>
      </c>
      <c r="P257" s="2">
        <f t="shared" si="10"/>
        <v>3.3708729989571196</v>
      </c>
      <c r="Q257" s="2">
        <f t="shared" si="11"/>
        <v>0.36926866728359292</v>
      </c>
    </row>
    <row r="258" spans="1:17" x14ac:dyDescent="0.45">
      <c r="A258" t="s">
        <v>279</v>
      </c>
      <c r="B258">
        <v>53.2</v>
      </c>
      <c r="C258">
        <v>130</v>
      </c>
      <c r="D258">
        <v>1.1318999999999999E-2</v>
      </c>
      <c r="E258">
        <v>31.21</v>
      </c>
      <c r="F258">
        <v>1.0900000000000001</v>
      </c>
      <c r="G258">
        <v>4.8227649182081202E-2</v>
      </c>
      <c r="H258">
        <v>591.95153167408102</v>
      </c>
      <c r="I258">
        <v>42.1255591503717</v>
      </c>
      <c r="K258">
        <v>5.4884489625692368E-2</v>
      </c>
      <c r="L258" s="2">
        <f t="shared" si="9"/>
        <v>13.802954439016052</v>
      </c>
      <c r="N258">
        <v>42.757492065429688</v>
      </c>
      <c r="O258">
        <v>578.9779052734375</v>
      </c>
      <c r="P258" s="2">
        <f t="shared" ref="P258:P321" si="12">(N258-I258)/I258*100</f>
        <v>1.500117571857587</v>
      </c>
      <c r="Q258" s="2">
        <f t="shared" ref="Q258:Q321" si="13">(O258-H258)/H258*100</f>
        <v>-2.1916703828695545</v>
      </c>
    </row>
    <row r="259" spans="1:17" x14ac:dyDescent="0.45">
      <c r="A259" t="s">
        <v>280</v>
      </c>
      <c r="B259">
        <v>83.8</v>
      </c>
      <c r="C259">
        <v>127.2</v>
      </c>
      <c r="D259">
        <v>1.6341999999999999E-2</v>
      </c>
      <c r="E259">
        <v>20.68</v>
      </c>
      <c r="F259">
        <v>1</v>
      </c>
      <c r="G259">
        <v>7.5014889240264795E-2</v>
      </c>
      <c r="H259">
        <v>508.70967185106099</v>
      </c>
      <c r="I259">
        <v>86.385477115512799</v>
      </c>
      <c r="K259">
        <v>8.2157887518405914E-2</v>
      </c>
      <c r="L259" s="2">
        <f t="shared" si="9"/>
        <v>9.5221073449336799</v>
      </c>
      <c r="N259">
        <v>87.706016540527344</v>
      </c>
      <c r="O259">
        <v>491.57443237304688</v>
      </c>
      <c r="P259" s="2">
        <f t="shared" si="12"/>
        <v>1.528659062968128</v>
      </c>
      <c r="Q259" s="2">
        <f t="shared" si="13"/>
        <v>-3.3683730477668088</v>
      </c>
    </row>
    <row r="260" spans="1:17" x14ac:dyDescent="0.45">
      <c r="A260" t="s">
        <v>281</v>
      </c>
      <c r="B260">
        <v>63.4</v>
      </c>
      <c r="C260">
        <v>105.8</v>
      </c>
      <c r="D260">
        <v>1.5883999999999999E-2</v>
      </c>
      <c r="E260">
        <v>27.13</v>
      </c>
      <c r="F260">
        <v>1</v>
      </c>
      <c r="G260">
        <v>0.110834531486034</v>
      </c>
      <c r="H260">
        <v>539.62718872675896</v>
      </c>
      <c r="I260">
        <v>61.444256239038801</v>
      </c>
      <c r="K260">
        <v>0.10846329480409619</v>
      </c>
      <c r="L260" s="2">
        <f t="shared" si="9"/>
        <v>-2.1394385397267679</v>
      </c>
      <c r="N260">
        <v>61.066555023193359</v>
      </c>
      <c r="O260">
        <v>533.73516845703125</v>
      </c>
      <c r="P260" s="2">
        <f t="shared" si="12"/>
        <v>-0.61470548911204415</v>
      </c>
      <c r="Q260" s="2">
        <f t="shared" si="13"/>
        <v>-1.0918686813445833</v>
      </c>
    </row>
    <row r="261" spans="1:17" x14ac:dyDescent="0.45">
      <c r="A261" t="s">
        <v>282</v>
      </c>
      <c r="B261">
        <v>72.8</v>
      </c>
      <c r="C261">
        <v>112</v>
      </c>
      <c r="D261">
        <v>1.9744000000000001E-2</v>
      </c>
      <c r="E261">
        <v>28.9</v>
      </c>
      <c r="F261">
        <v>1</v>
      </c>
      <c r="G261">
        <v>0.10904293507337499</v>
      </c>
      <c r="H261">
        <v>551.66088012203397</v>
      </c>
      <c r="I261">
        <v>72.677197666038396</v>
      </c>
      <c r="K261">
        <v>0.11259666830301281</v>
      </c>
      <c r="L261" s="2">
        <f t="shared" si="9"/>
        <v>3.2590219872993194</v>
      </c>
      <c r="N261">
        <v>71.962783813476563</v>
      </c>
      <c r="O261">
        <v>552.188232421875</v>
      </c>
      <c r="P261" s="2">
        <f t="shared" si="12"/>
        <v>-0.98299587147630796</v>
      </c>
      <c r="Q261" s="2">
        <f t="shared" si="13"/>
        <v>9.5593564605191958E-2</v>
      </c>
    </row>
    <row r="262" spans="1:17" x14ac:dyDescent="0.45">
      <c r="A262" t="s">
        <v>283</v>
      </c>
      <c r="B262">
        <v>69.5</v>
      </c>
      <c r="C262">
        <v>111.3</v>
      </c>
      <c r="D262">
        <v>1.6900999999999999E-2</v>
      </c>
      <c r="E262">
        <v>25.7</v>
      </c>
      <c r="F262">
        <v>1</v>
      </c>
      <c r="G262">
        <v>9.6782505512237493E-2</v>
      </c>
      <c r="H262">
        <v>532.27304009823501</v>
      </c>
      <c r="I262">
        <v>69.086276936719401</v>
      </c>
      <c r="K262">
        <v>9.5991916954517365E-2</v>
      </c>
      <c r="L262" s="2">
        <f t="shared" si="9"/>
        <v>-0.81687134832458352</v>
      </c>
      <c r="N262">
        <v>69.320060729980469</v>
      </c>
      <c r="O262">
        <v>531.45123291015625</v>
      </c>
      <c r="P262" s="2">
        <f t="shared" si="12"/>
        <v>0.33839396711912262</v>
      </c>
      <c r="Q262" s="2">
        <f t="shared" si="13"/>
        <v>-0.15439579429517866</v>
      </c>
    </row>
    <row r="263" spans="1:17" x14ac:dyDescent="0.45">
      <c r="A263" t="s">
        <v>284</v>
      </c>
      <c r="B263">
        <v>66.900000000000006</v>
      </c>
      <c r="C263">
        <v>117</v>
      </c>
      <c r="D263">
        <v>1.5827000000000001E-2</v>
      </c>
      <c r="E263">
        <v>26.5</v>
      </c>
      <c r="F263">
        <v>1</v>
      </c>
      <c r="G263">
        <v>7.8850813210010501E-2</v>
      </c>
      <c r="H263">
        <v>538.83737394047705</v>
      </c>
      <c r="I263">
        <v>63.936680222203499</v>
      </c>
      <c r="K263">
        <v>8.3707146346569061E-2</v>
      </c>
      <c r="L263" s="2">
        <f t="shared" si="9"/>
        <v>6.1588878273509362</v>
      </c>
      <c r="N263">
        <v>63.817520141601563</v>
      </c>
      <c r="O263">
        <v>539.035888671875</v>
      </c>
      <c r="P263" s="2">
        <f t="shared" si="12"/>
        <v>-0.18637201710788154</v>
      </c>
      <c r="Q263" s="2">
        <f t="shared" si="13"/>
        <v>3.6841307043389802E-2</v>
      </c>
    </row>
    <row r="264" spans="1:17" x14ac:dyDescent="0.45">
      <c r="A264" t="s">
        <v>285</v>
      </c>
      <c r="B264">
        <v>45.4</v>
      </c>
      <c r="C264">
        <v>130</v>
      </c>
      <c r="D264">
        <v>6.9230000000000003E-3</v>
      </c>
      <c r="E264">
        <v>23.38</v>
      </c>
      <c r="F264">
        <v>1</v>
      </c>
      <c r="G264">
        <v>3.07439994066953E-2</v>
      </c>
      <c r="H264">
        <v>526.70829180160194</v>
      </c>
      <c r="I264">
        <v>32.995427852301702</v>
      </c>
      <c r="K264">
        <v>3.2297935336828232E-2</v>
      </c>
      <c r="L264" s="2">
        <f t="shared" si="9"/>
        <v>5.0544365083305394</v>
      </c>
      <c r="N264">
        <v>34.285324096679688</v>
      </c>
      <c r="O264">
        <v>513.74853515625</v>
      </c>
      <c r="P264" s="2">
        <f t="shared" si="12"/>
        <v>3.9093181338698844</v>
      </c>
      <c r="Q264" s="2">
        <f t="shared" si="13"/>
        <v>-2.4605188198240038</v>
      </c>
    </row>
    <row r="265" spans="1:17" x14ac:dyDescent="0.45">
      <c r="A265" t="s">
        <v>286</v>
      </c>
      <c r="B265">
        <v>85.4</v>
      </c>
      <c r="C265">
        <v>127.9</v>
      </c>
      <c r="D265">
        <v>2.5052999999999999E-2</v>
      </c>
      <c r="E265">
        <v>35</v>
      </c>
      <c r="F265">
        <v>1</v>
      </c>
      <c r="G265">
        <v>0.10594575852155599</v>
      </c>
      <c r="H265">
        <v>595.05614375626499</v>
      </c>
      <c r="I265">
        <v>82.357905894203896</v>
      </c>
      <c r="K265">
        <v>0.1193489208817482</v>
      </c>
      <c r="L265" s="2">
        <f t="shared" ref="L265:L328" si="14">(K265-G265)/G265*100</f>
        <v>12.650966444744613</v>
      </c>
      <c r="N265">
        <v>85.498184204101563</v>
      </c>
      <c r="O265">
        <v>589.456298828125</v>
      </c>
      <c r="P265" s="2">
        <f t="shared" si="12"/>
        <v>3.812965222709324</v>
      </c>
      <c r="Q265" s="2">
        <f t="shared" si="13"/>
        <v>-0.94106161021903245</v>
      </c>
    </row>
    <row r="266" spans="1:17" x14ac:dyDescent="0.45">
      <c r="A266" t="s">
        <v>287</v>
      </c>
      <c r="B266">
        <v>83.1</v>
      </c>
      <c r="C266">
        <v>111.2</v>
      </c>
      <c r="D266">
        <v>2.5828E-2</v>
      </c>
      <c r="E266">
        <v>32.07</v>
      </c>
      <c r="F266">
        <v>1</v>
      </c>
      <c r="G266">
        <v>0.14408254623413</v>
      </c>
      <c r="H266">
        <v>570.46682359248598</v>
      </c>
      <c r="I266">
        <v>86.434071626115497</v>
      </c>
      <c r="K266">
        <v>0.1554914116859436</v>
      </c>
      <c r="L266" s="2">
        <f t="shared" si="14"/>
        <v>7.9182841711268246</v>
      </c>
      <c r="N266">
        <v>87.410400390625</v>
      </c>
      <c r="O266">
        <v>570.5772705078125</v>
      </c>
      <c r="P266" s="2">
        <f t="shared" si="12"/>
        <v>1.1295647030638227</v>
      </c>
      <c r="Q266" s="2">
        <f t="shared" si="13"/>
        <v>1.9360795537764333E-2</v>
      </c>
    </row>
    <row r="267" spans="1:17" x14ac:dyDescent="0.45">
      <c r="A267" t="s">
        <v>288</v>
      </c>
      <c r="B267">
        <v>49.7</v>
      </c>
      <c r="C267">
        <v>109.7</v>
      </c>
      <c r="D267">
        <v>8.7089999999999997E-3</v>
      </c>
      <c r="E267">
        <v>20.94</v>
      </c>
      <c r="F267">
        <v>1</v>
      </c>
      <c r="G267">
        <v>5.3874637931585298E-2</v>
      </c>
      <c r="H267">
        <v>503.31168175847</v>
      </c>
      <c r="I267">
        <v>42.284153490892102</v>
      </c>
      <c r="K267">
        <v>5.3827773779630661E-2</v>
      </c>
      <c r="L267" s="2">
        <f t="shared" si="14"/>
        <v>-8.698740957507535E-2</v>
      </c>
      <c r="N267">
        <v>38.769523620605469</v>
      </c>
      <c r="O267">
        <v>500.41287231445313</v>
      </c>
      <c r="P267" s="2">
        <f t="shared" si="12"/>
        <v>-8.3119314923584202</v>
      </c>
      <c r="Q267" s="2">
        <f t="shared" si="13"/>
        <v>-0.57594718125536415</v>
      </c>
    </row>
    <row r="268" spans="1:17" x14ac:dyDescent="0.45">
      <c r="A268" t="s">
        <v>289</v>
      </c>
      <c r="B268">
        <v>87.1</v>
      </c>
      <c r="C268">
        <v>114.5</v>
      </c>
      <c r="D268">
        <v>2.7651999999999999E-2</v>
      </c>
      <c r="E268">
        <v>33.130000000000003</v>
      </c>
      <c r="F268">
        <v>1.03</v>
      </c>
      <c r="G268">
        <v>0.14059150218963601</v>
      </c>
      <c r="H268">
        <v>584.134773922367</v>
      </c>
      <c r="I268">
        <v>91.374055749075495</v>
      </c>
      <c r="K268">
        <v>0.15376695990562439</v>
      </c>
      <c r="L268" s="2">
        <f t="shared" si="14"/>
        <v>9.3714467167558553</v>
      </c>
      <c r="N268">
        <v>91.496482849121094</v>
      </c>
      <c r="O268">
        <v>585.02374267578125</v>
      </c>
      <c r="P268" s="2">
        <f t="shared" si="12"/>
        <v>0.13398453099400398</v>
      </c>
      <c r="Q268" s="2">
        <f t="shared" si="13"/>
        <v>0.15218555598821326</v>
      </c>
    </row>
    <row r="269" spans="1:17" x14ac:dyDescent="0.45">
      <c r="A269" t="s">
        <v>290</v>
      </c>
      <c r="B269">
        <v>71.599999999999994</v>
      </c>
      <c r="C269">
        <v>110.6</v>
      </c>
      <c r="D269">
        <v>1.7756999999999998E-2</v>
      </c>
      <c r="E269">
        <v>25.84</v>
      </c>
      <c r="F269">
        <v>1</v>
      </c>
      <c r="G269">
        <v>0.103814601898193</v>
      </c>
      <c r="H269">
        <v>532.93272159667094</v>
      </c>
      <c r="I269">
        <v>71.759288851744202</v>
      </c>
      <c r="K269">
        <v>0.1026489213109016</v>
      </c>
      <c r="L269" s="2">
        <f t="shared" si="14"/>
        <v>-1.1228483912451321</v>
      </c>
      <c r="N269">
        <v>72.162437438964844</v>
      </c>
      <c r="O269">
        <v>530.092041015625</v>
      </c>
      <c r="P269" s="2">
        <f t="shared" si="12"/>
        <v>0.56180683180062296</v>
      </c>
      <c r="Q269" s="2">
        <f t="shared" si="13"/>
        <v>-0.53302799132604228</v>
      </c>
    </row>
    <row r="270" spans="1:17" x14ac:dyDescent="0.45">
      <c r="A270" t="s">
        <v>291</v>
      </c>
      <c r="B270">
        <v>59.4</v>
      </c>
      <c r="C270">
        <v>102.1</v>
      </c>
      <c r="D270">
        <v>1.8065999999999999E-2</v>
      </c>
      <c r="E270">
        <v>35</v>
      </c>
      <c r="F270">
        <v>1</v>
      </c>
      <c r="G270">
        <v>0.151483654975891</v>
      </c>
      <c r="H270">
        <v>586.25160564727298</v>
      </c>
      <c r="I270">
        <v>56.364902046299598</v>
      </c>
      <c r="K270">
        <v>0.1450595706701279</v>
      </c>
      <c r="L270" s="2">
        <f t="shared" si="14"/>
        <v>-4.2407772025209685</v>
      </c>
      <c r="N270">
        <v>56.966133117675781</v>
      </c>
      <c r="O270">
        <v>594.2449951171875</v>
      </c>
      <c r="P270" s="2">
        <f t="shared" si="12"/>
        <v>1.0666763350042134</v>
      </c>
      <c r="Q270" s="2">
        <f t="shared" si="13"/>
        <v>1.3634742136167146</v>
      </c>
    </row>
    <row r="271" spans="1:17" x14ac:dyDescent="0.45">
      <c r="A271" t="s">
        <v>292</v>
      </c>
      <c r="B271">
        <v>77</v>
      </c>
      <c r="C271">
        <v>113.8</v>
      </c>
      <c r="D271">
        <v>2.4708999999999998E-2</v>
      </c>
      <c r="E271">
        <v>35</v>
      </c>
      <c r="F271">
        <v>1</v>
      </c>
      <c r="G271">
        <v>0.12685853242874101</v>
      </c>
      <c r="H271">
        <v>588.77962600710998</v>
      </c>
      <c r="I271">
        <v>77.161356279581099</v>
      </c>
      <c r="K271">
        <v>0.1320089399814606</v>
      </c>
      <c r="L271" s="2">
        <f t="shared" si="14"/>
        <v>4.0599614815918477</v>
      </c>
      <c r="N271">
        <v>78.520004272460938</v>
      </c>
      <c r="O271">
        <v>585.51251220703125</v>
      </c>
      <c r="P271" s="2">
        <f t="shared" si="12"/>
        <v>1.7607881177684428</v>
      </c>
      <c r="Q271" s="2">
        <f t="shared" si="13"/>
        <v>-0.55489586523825796</v>
      </c>
    </row>
    <row r="272" spans="1:17" x14ac:dyDescent="0.45">
      <c r="A272" t="s">
        <v>293</v>
      </c>
      <c r="B272">
        <v>59</v>
      </c>
      <c r="C272">
        <v>130</v>
      </c>
      <c r="D272">
        <v>1.1266999999999999E-2</v>
      </c>
      <c r="E272">
        <v>25.25</v>
      </c>
      <c r="F272">
        <v>1</v>
      </c>
      <c r="G272">
        <v>4.94568161666393E-2</v>
      </c>
      <c r="H272">
        <v>537.928291801603</v>
      </c>
      <c r="I272">
        <v>50.309410702595102</v>
      </c>
      <c r="K272">
        <v>5.6885480880737298E-2</v>
      </c>
      <c r="L272" s="2">
        <f t="shared" si="14"/>
        <v>15.020507363571342</v>
      </c>
      <c r="N272">
        <v>51.919208526611328</v>
      </c>
      <c r="O272">
        <v>526.82257080078125</v>
      </c>
      <c r="P272" s="2">
        <f t="shared" si="12"/>
        <v>3.1997946339156549</v>
      </c>
      <c r="Q272" s="2">
        <f t="shared" si="13"/>
        <v>-2.0645355840324018</v>
      </c>
    </row>
    <row r="273" spans="1:17" x14ac:dyDescent="0.45">
      <c r="A273" t="s">
        <v>294</v>
      </c>
      <c r="B273">
        <v>55.2</v>
      </c>
      <c r="C273">
        <v>130</v>
      </c>
      <c r="D273">
        <v>1.2199E-2</v>
      </c>
      <c r="E273">
        <v>31.85</v>
      </c>
      <c r="F273">
        <v>1.1599999999999999</v>
      </c>
      <c r="G273">
        <v>5.1845043897628701E-2</v>
      </c>
      <c r="H273">
        <v>610.61067379712097</v>
      </c>
      <c r="I273">
        <v>45.4381946895883</v>
      </c>
      <c r="K273">
        <v>5.5553946644067757E-2</v>
      </c>
      <c r="L273" s="2">
        <f t="shared" si="14"/>
        <v>7.153823138355361</v>
      </c>
      <c r="N273">
        <v>47.124259948730469</v>
      </c>
      <c r="O273">
        <v>601.08209228515625</v>
      </c>
      <c r="P273" s="2">
        <f t="shared" si="12"/>
        <v>3.7106783635673644</v>
      </c>
      <c r="Q273" s="2">
        <f t="shared" si="13"/>
        <v>-1.5605003189201774</v>
      </c>
    </row>
    <row r="274" spans="1:17" x14ac:dyDescent="0.45">
      <c r="A274" t="s">
        <v>295</v>
      </c>
      <c r="B274">
        <v>72.7</v>
      </c>
      <c r="C274">
        <v>110.2</v>
      </c>
      <c r="D274">
        <v>2.0490000000000001E-2</v>
      </c>
      <c r="E274">
        <v>29.94</v>
      </c>
      <c r="F274">
        <v>1</v>
      </c>
      <c r="G274">
        <v>0.118995778262615</v>
      </c>
      <c r="H274">
        <v>557.43299821093603</v>
      </c>
      <c r="I274">
        <v>72.989675451265299</v>
      </c>
      <c r="K274">
        <v>0.1241341233253479</v>
      </c>
      <c r="L274" s="2">
        <f t="shared" si="14"/>
        <v>4.3180902194638806</v>
      </c>
      <c r="N274">
        <v>72.698234558105469</v>
      </c>
      <c r="O274">
        <v>555.4859619140625</v>
      </c>
      <c r="P274" s="2">
        <f t="shared" si="12"/>
        <v>-0.3992905727528866</v>
      </c>
      <c r="Q274" s="2">
        <f t="shared" si="13"/>
        <v>-0.34928615692334092</v>
      </c>
    </row>
    <row r="275" spans="1:17" x14ac:dyDescent="0.45">
      <c r="A275" t="s">
        <v>296</v>
      </c>
      <c r="B275">
        <v>87.2</v>
      </c>
      <c r="C275">
        <v>113.8</v>
      </c>
      <c r="D275">
        <v>2.5307E-2</v>
      </c>
      <c r="E275">
        <v>29.54</v>
      </c>
      <c r="F275">
        <v>1</v>
      </c>
      <c r="G275">
        <v>0.13287828862667</v>
      </c>
      <c r="H275">
        <v>556.01962600710999</v>
      </c>
      <c r="I275">
        <v>93.286634287545098</v>
      </c>
      <c r="K275">
        <v>0.136487141251564</v>
      </c>
      <c r="L275" s="2">
        <f t="shared" si="14"/>
        <v>2.7159084167868044</v>
      </c>
      <c r="N275">
        <v>93.234893798828125</v>
      </c>
      <c r="O275">
        <v>551.7403564453125</v>
      </c>
      <c r="P275" s="2">
        <f t="shared" si="12"/>
        <v>-5.5463989147136822E-2</v>
      </c>
      <c r="Q275" s="2">
        <f t="shared" si="13"/>
        <v>-0.76962563219715752</v>
      </c>
    </row>
    <row r="276" spans="1:17" x14ac:dyDescent="0.45">
      <c r="A276" t="s">
        <v>297</v>
      </c>
      <c r="B276">
        <v>68.2</v>
      </c>
      <c r="C276">
        <v>106.9</v>
      </c>
      <c r="D276">
        <v>1.8529E-2</v>
      </c>
      <c r="E276">
        <v>28.98</v>
      </c>
      <c r="F276">
        <v>1.07</v>
      </c>
      <c r="G276">
        <v>0.12218247354030599</v>
      </c>
      <c r="H276">
        <v>563.98802722821597</v>
      </c>
      <c r="I276">
        <v>69.065511391696802</v>
      </c>
      <c r="K276">
        <v>0.1255834102630615</v>
      </c>
      <c r="L276" s="2">
        <f t="shared" si="14"/>
        <v>2.783489828132828</v>
      </c>
      <c r="N276">
        <v>69.169235229492188</v>
      </c>
      <c r="O276">
        <v>559.183837890625</v>
      </c>
      <c r="P276" s="2">
        <f t="shared" si="12"/>
        <v>0.15018181391161814</v>
      </c>
      <c r="Q276" s="2">
        <f t="shared" si="13"/>
        <v>-0.85182470294656965</v>
      </c>
    </row>
    <row r="277" spans="1:17" x14ac:dyDescent="0.45">
      <c r="A277" t="s">
        <v>298</v>
      </c>
      <c r="B277">
        <v>85</v>
      </c>
      <c r="C277">
        <v>120.8</v>
      </c>
      <c r="D277">
        <v>2.3453000000000002E-2</v>
      </c>
      <c r="E277">
        <v>29.87</v>
      </c>
      <c r="F277">
        <v>1</v>
      </c>
      <c r="G277">
        <v>0.108031123876571</v>
      </c>
      <c r="H277">
        <v>560.56478278015902</v>
      </c>
      <c r="I277">
        <v>86.419447611765605</v>
      </c>
      <c r="K277">
        <v>0.1096078678965569</v>
      </c>
      <c r="L277" s="2">
        <f t="shared" si="14"/>
        <v>1.4595275541031798</v>
      </c>
      <c r="N277">
        <v>89.616294860839844</v>
      </c>
      <c r="O277">
        <v>555.93133544921875</v>
      </c>
      <c r="P277" s="2">
        <f t="shared" si="12"/>
        <v>3.6992220355722369</v>
      </c>
      <c r="Q277" s="2">
        <f t="shared" si="13"/>
        <v>-0.82656768196538777</v>
      </c>
    </row>
    <row r="278" spans="1:17" x14ac:dyDescent="0.45">
      <c r="A278" t="s">
        <v>299</v>
      </c>
      <c r="B278">
        <v>49</v>
      </c>
      <c r="C278">
        <v>130</v>
      </c>
      <c r="D278">
        <v>8.0249999999999991E-3</v>
      </c>
      <c r="E278">
        <v>23.86</v>
      </c>
      <c r="F278">
        <v>1</v>
      </c>
      <c r="G278">
        <v>3.5531107336282702E-2</v>
      </c>
      <c r="H278">
        <v>529.58829180160205</v>
      </c>
      <c r="I278">
        <v>37.551451995348202</v>
      </c>
      <c r="K278">
        <v>3.8056831806898117E-2</v>
      </c>
      <c r="L278" s="2">
        <f t="shared" si="14"/>
        <v>7.1084879137337298</v>
      </c>
      <c r="N278">
        <v>39.424858093261719</v>
      </c>
      <c r="O278">
        <v>517.14886474609375</v>
      </c>
      <c r="P278" s="2">
        <f t="shared" si="12"/>
        <v>4.988904551934743</v>
      </c>
      <c r="Q278" s="2">
        <f t="shared" si="13"/>
        <v>-2.3488863421037349</v>
      </c>
    </row>
    <row r="279" spans="1:17" x14ac:dyDescent="0.45">
      <c r="A279" t="s">
        <v>300</v>
      </c>
      <c r="B279">
        <v>83.3</v>
      </c>
      <c r="C279">
        <v>117.3</v>
      </c>
      <c r="D279">
        <v>2.2544000000000002E-2</v>
      </c>
      <c r="E279">
        <v>28.4</v>
      </c>
      <c r="F279">
        <v>1</v>
      </c>
      <c r="G279">
        <v>0.11048667132854401</v>
      </c>
      <c r="H279">
        <v>550.34601050663503</v>
      </c>
      <c r="I279">
        <v>85.468661381912</v>
      </c>
      <c r="K279">
        <v>0.1086126938462257</v>
      </c>
      <c r="L279" s="2">
        <f t="shared" si="14"/>
        <v>-1.6961118113024107</v>
      </c>
      <c r="N279">
        <v>87.854164123535156</v>
      </c>
      <c r="O279">
        <v>548.984619140625</v>
      </c>
      <c r="P279" s="2">
        <f t="shared" si="12"/>
        <v>2.791084712282633</v>
      </c>
      <c r="Q279" s="2">
        <f t="shared" si="13"/>
        <v>-0.24737007991695292</v>
      </c>
    </row>
    <row r="280" spans="1:17" x14ac:dyDescent="0.45">
      <c r="A280" t="s">
        <v>301</v>
      </c>
      <c r="B280">
        <v>64.5</v>
      </c>
      <c r="C280">
        <v>130</v>
      </c>
      <c r="D280">
        <v>1.3070999999999999E-2</v>
      </c>
      <c r="E280">
        <v>25.8</v>
      </c>
      <c r="F280">
        <v>1</v>
      </c>
      <c r="G280">
        <v>5.7186748832464197E-2</v>
      </c>
      <c r="H280">
        <v>541.22829180160295</v>
      </c>
      <c r="I280">
        <v>57.084073917916498</v>
      </c>
      <c r="K280">
        <v>6.6263787448406219E-2</v>
      </c>
      <c r="L280" s="2">
        <f t="shared" si="14"/>
        <v>15.872625741558332</v>
      </c>
      <c r="N280">
        <v>59.489906311035163</v>
      </c>
      <c r="O280">
        <v>531.78314208984375</v>
      </c>
      <c r="P280" s="2">
        <f t="shared" si="12"/>
        <v>4.2145422146606233</v>
      </c>
      <c r="Q280" s="2">
        <f t="shared" si="13"/>
        <v>-1.7451322953422936</v>
      </c>
    </row>
    <row r="281" spans="1:17" x14ac:dyDescent="0.45">
      <c r="A281" t="s">
        <v>302</v>
      </c>
      <c r="B281">
        <v>82.9</v>
      </c>
      <c r="C281">
        <v>113.9</v>
      </c>
      <c r="D281">
        <v>2.6897999999999998E-2</v>
      </c>
      <c r="E281">
        <v>34.47</v>
      </c>
      <c r="F281">
        <v>1</v>
      </c>
      <c r="G281">
        <v>0.138046860694885</v>
      </c>
      <c r="H281">
        <v>585.62999718136598</v>
      </c>
      <c r="I281">
        <v>84.792001505515898</v>
      </c>
      <c r="K281">
        <v>0.1489705145359039</v>
      </c>
      <c r="L281" s="2">
        <f t="shared" si="14"/>
        <v>7.9130041683183663</v>
      </c>
      <c r="N281">
        <v>85.779449462890625</v>
      </c>
      <c r="O281">
        <v>586.0626220703125</v>
      </c>
      <c r="P281" s="2">
        <f t="shared" si="12"/>
        <v>1.164553188793982</v>
      </c>
      <c r="Q281" s="2">
        <f t="shared" si="13"/>
        <v>7.3873416838061881E-2</v>
      </c>
    </row>
    <row r="282" spans="1:17" x14ac:dyDescent="0.45">
      <c r="A282" t="s">
        <v>303</v>
      </c>
      <c r="B282">
        <v>42.1</v>
      </c>
      <c r="C282">
        <v>115.6</v>
      </c>
      <c r="D282">
        <v>6.058E-3</v>
      </c>
      <c r="E282">
        <v>20</v>
      </c>
      <c r="F282">
        <v>1</v>
      </c>
      <c r="G282">
        <v>3.2385159283876398E-2</v>
      </c>
      <c r="H282">
        <v>499.35234926537601</v>
      </c>
      <c r="I282">
        <v>31.2731152367965</v>
      </c>
      <c r="K282">
        <v>3.1526252627372742E-2</v>
      </c>
      <c r="L282" s="2">
        <f t="shared" si="14"/>
        <v>-2.6521612846637455</v>
      </c>
      <c r="N282">
        <v>28.046648025512699</v>
      </c>
      <c r="O282">
        <v>495.92367553710938</v>
      </c>
      <c r="P282" s="2">
        <f t="shared" si="12"/>
        <v>-10.317063672273628</v>
      </c>
      <c r="Q282" s="2">
        <f t="shared" si="13"/>
        <v>-0.68662413089890062</v>
      </c>
    </row>
    <row r="283" spans="1:17" x14ac:dyDescent="0.45">
      <c r="A283" t="s">
        <v>304</v>
      </c>
      <c r="B283">
        <v>69.3</v>
      </c>
      <c r="C283">
        <v>130</v>
      </c>
      <c r="D283">
        <v>1.3063E-2</v>
      </c>
      <c r="E283">
        <v>22.51</v>
      </c>
      <c r="F283">
        <v>1</v>
      </c>
      <c r="G283">
        <v>5.8345019817352198E-2</v>
      </c>
      <c r="H283">
        <v>521.48829180160203</v>
      </c>
      <c r="I283">
        <v>64.626184394979703</v>
      </c>
      <c r="K283">
        <v>6.3542410731315613E-2</v>
      </c>
      <c r="L283" s="2">
        <f t="shared" si="14"/>
        <v>8.9080283634039947</v>
      </c>
      <c r="N283">
        <v>65.1318359375</v>
      </c>
      <c r="O283">
        <v>514.17279052734375</v>
      </c>
      <c r="P283" s="2">
        <f t="shared" si="12"/>
        <v>0.78242518455039334</v>
      </c>
      <c r="Q283" s="2">
        <f t="shared" si="13"/>
        <v>-1.40281217992166</v>
      </c>
    </row>
    <row r="284" spans="1:17" x14ac:dyDescent="0.45">
      <c r="A284" t="s">
        <v>305</v>
      </c>
      <c r="B284">
        <v>50.4</v>
      </c>
      <c r="C284">
        <v>103.9</v>
      </c>
      <c r="D284">
        <v>1.3854E-2</v>
      </c>
      <c r="E284">
        <v>35</v>
      </c>
      <c r="F284">
        <v>1</v>
      </c>
      <c r="G284">
        <v>0.10399301350116701</v>
      </c>
      <c r="H284">
        <v>586.51963820818605</v>
      </c>
      <c r="I284">
        <v>42.911406279029002</v>
      </c>
      <c r="K284">
        <v>0.10916471481323239</v>
      </c>
      <c r="L284" s="2">
        <f t="shared" si="14"/>
        <v>4.9731238070212775</v>
      </c>
      <c r="N284">
        <v>41.856410980224609</v>
      </c>
      <c r="O284">
        <v>592.02056884765625</v>
      </c>
      <c r="P284" s="2">
        <f t="shared" si="12"/>
        <v>-2.4585428217950844</v>
      </c>
      <c r="Q284" s="2">
        <f t="shared" si="13"/>
        <v>0.93789368353897029</v>
      </c>
    </row>
    <row r="285" spans="1:17" x14ac:dyDescent="0.45">
      <c r="A285" t="s">
        <v>306</v>
      </c>
      <c r="B285">
        <v>82.6</v>
      </c>
      <c r="C285">
        <v>108.1</v>
      </c>
      <c r="D285">
        <v>2.75E-2</v>
      </c>
      <c r="E285">
        <v>34.24</v>
      </c>
      <c r="F285">
        <v>1</v>
      </c>
      <c r="G285">
        <v>0.16963872313499401</v>
      </c>
      <c r="H285">
        <v>582.74780526945096</v>
      </c>
      <c r="I285">
        <v>87.0017979705719</v>
      </c>
      <c r="K285">
        <v>0.18245202302932739</v>
      </c>
      <c r="L285" s="2">
        <f t="shared" si="14"/>
        <v>7.5532871608193499</v>
      </c>
      <c r="N285">
        <v>89.563934326171875</v>
      </c>
      <c r="O285">
        <v>586.5860595703125</v>
      </c>
      <c r="P285" s="2">
        <f t="shared" si="12"/>
        <v>2.944923456026288</v>
      </c>
      <c r="Q285" s="2">
        <f t="shared" si="13"/>
        <v>0.6586475772460102</v>
      </c>
    </row>
    <row r="286" spans="1:17" x14ac:dyDescent="0.45">
      <c r="A286" t="s">
        <v>307</v>
      </c>
      <c r="B286">
        <v>62.7</v>
      </c>
      <c r="C286">
        <v>128.80000000000001</v>
      </c>
      <c r="D286">
        <v>1.4101000000000001E-2</v>
      </c>
      <c r="E286">
        <v>29.46</v>
      </c>
      <c r="F286">
        <v>1</v>
      </c>
      <c r="G286">
        <v>6.07725232839584E-2</v>
      </c>
      <c r="H286">
        <v>562.38668248958595</v>
      </c>
      <c r="I286">
        <v>54.161145006080602</v>
      </c>
      <c r="K286">
        <v>7.3221355676651001E-2</v>
      </c>
      <c r="L286" s="2">
        <f t="shared" si="14"/>
        <v>20.484310540350087</v>
      </c>
      <c r="N286">
        <v>56.540615081787109</v>
      </c>
      <c r="O286">
        <v>550.4864501953125</v>
      </c>
      <c r="P286" s="2">
        <f t="shared" si="12"/>
        <v>4.3933156794217831</v>
      </c>
      <c r="Q286" s="2">
        <f t="shared" si="13"/>
        <v>-2.1160231322678618</v>
      </c>
    </row>
    <row r="287" spans="1:17" x14ac:dyDescent="0.45">
      <c r="A287" t="s">
        <v>308</v>
      </c>
      <c r="B287">
        <v>54.8</v>
      </c>
      <c r="C287">
        <v>109.8</v>
      </c>
      <c r="D287">
        <v>1.0822999999999999E-2</v>
      </c>
      <c r="E287">
        <v>22.62</v>
      </c>
      <c r="F287">
        <v>1</v>
      </c>
      <c r="G287">
        <v>6.6077627241611397E-2</v>
      </c>
      <c r="H287">
        <v>513.41565066173996</v>
      </c>
      <c r="I287">
        <v>48.9895289579242</v>
      </c>
      <c r="K287">
        <v>6.5690189599990845E-2</v>
      </c>
      <c r="L287" s="2">
        <f t="shared" si="14"/>
        <v>-0.58633709743222995</v>
      </c>
      <c r="N287">
        <v>48.072555541992188</v>
      </c>
      <c r="O287">
        <v>512.91009521484375</v>
      </c>
      <c r="P287" s="2">
        <f t="shared" si="12"/>
        <v>-1.8717743065453374</v>
      </c>
      <c r="Q287" s="2">
        <f t="shared" si="13"/>
        <v>-9.8469036977077165E-2</v>
      </c>
    </row>
    <row r="288" spans="1:17" x14ac:dyDescent="0.45">
      <c r="A288" t="s">
        <v>309</v>
      </c>
      <c r="B288">
        <v>61</v>
      </c>
      <c r="C288">
        <v>107.7</v>
      </c>
      <c r="D288">
        <v>1.481E-2</v>
      </c>
      <c r="E288">
        <v>26.97</v>
      </c>
      <c r="F288">
        <v>1</v>
      </c>
      <c r="G288">
        <v>9.5384709537029197E-2</v>
      </c>
      <c r="H288">
        <v>539.04249847335404</v>
      </c>
      <c r="I288">
        <v>57.3927901048393</v>
      </c>
      <c r="K288">
        <v>9.5255039632320404E-2</v>
      </c>
      <c r="L288" s="2">
        <f t="shared" si="14"/>
        <v>-0.13594412074867607</v>
      </c>
      <c r="N288">
        <v>56.621818542480469</v>
      </c>
      <c r="O288">
        <v>536.6790771484375</v>
      </c>
      <c r="P288" s="2">
        <f t="shared" si="12"/>
        <v>-1.3433247642264798</v>
      </c>
      <c r="Q288" s="2">
        <f t="shared" si="13"/>
        <v>-0.43844805031330436</v>
      </c>
    </row>
    <row r="289" spans="1:17" x14ac:dyDescent="0.45">
      <c r="A289" t="s">
        <v>310</v>
      </c>
      <c r="B289">
        <v>54.7</v>
      </c>
      <c r="C289">
        <v>114.3</v>
      </c>
      <c r="D289">
        <v>1.1297E-2</v>
      </c>
      <c r="E289">
        <v>24.74</v>
      </c>
      <c r="F289">
        <v>1</v>
      </c>
      <c r="G289">
        <v>6.01121038198471E-2</v>
      </c>
      <c r="H289">
        <v>527.37315821430298</v>
      </c>
      <c r="I289">
        <v>47.828029943670202</v>
      </c>
      <c r="K289">
        <v>6.4562603831291199E-2</v>
      </c>
      <c r="L289" s="2">
        <f t="shared" si="14"/>
        <v>7.4036670298248408</v>
      </c>
      <c r="N289">
        <v>47.79400634765625</v>
      </c>
      <c r="O289">
        <v>524.67193603515625</v>
      </c>
      <c r="P289" s="2">
        <f t="shared" si="12"/>
        <v>-7.1137356178006608E-2</v>
      </c>
      <c r="Q289" s="2">
        <f t="shared" si="13"/>
        <v>-0.51220319750309684</v>
      </c>
    </row>
    <row r="290" spans="1:17" x14ac:dyDescent="0.45">
      <c r="A290" t="s">
        <v>311</v>
      </c>
      <c r="B290">
        <v>62.1</v>
      </c>
      <c r="C290">
        <v>123.2</v>
      </c>
      <c r="D290">
        <v>1.3348E-2</v>
      </c>
      <c r="E290">
        <v>26.07</v>
      </c>
      <c r="F290">
        <v>1</v>
      </c>
      <c r="G290">
        <v>6.1013489961624097E-2</v>
      </c>
      <c r="H290">
        <v>538.87649666255095</v>
      </c>
      <c r="I290">
        <v>55.936786324061899</v>
      </c>
      <c r="K290">
        <v>6.7786119878292084E-2</v>
      </c>
      <c r="L290" s="2">
        <f t="shared" si="14"/>
        <v>11.100217215779322</v>
      </c>
      <c r="N290">
        <v>58.557937622070313</v>
      </c>
      <c r="O290">
        <v>528.89105224609375</v>
      </c>
      <c r="P290" s="2">
        <f t="shared" si="12"/>
        <v>4.6859168541130387</v>
      </c>
      <c r="Q290" s="2">
        <f t="shared" si="13"/>
        <v>-1.853011678612914</v>
      </c>
    </row>
    <row r="291" spans="1:17" x14ac:dyDescent="0.45">
      <c r="A291" t="s">
        <v>312</v>
      </c>
      <c r="B291">
        <v>48.1</v>
      </c>
      <c r="C291">
        <v>108.5</v>
      </c>
      <c r="D291">
        <v>8.5830000000000004E-3</v>
      </c>
      <c r="E291">
        <v>21.93</v>
      </c>
      <c r="F291">
        <v>1</v>
      </c>
      <c r="G291">
        <v>5.5002216249704299E-2</v>
      </c>
      <c r="H291">
        <v>508.97535247707998</v>
      </c>
      <c r="I291">
        <v>40.031937863188602</v>
      </c>
      <c r="K291">
        <v>5.6350335478782647E-2</v>
      </c>
      <c r="L291" s="2">
        <f t="shared" si="14"/>
        <v>2.4510271058133881</v>
      </c>
      <c r="N291">
        <v>37.313411712646477</v>
      </c>
      <c r="O291">
        <v>508.09991455078119</v>
      </c>
      <c r="P291" s="2">
        <f t="shared" si="12"/>
        <v>-6.7908932108978606</v>
      </c>
      <c r="Q291" s="2">
        <f t="shared" si="13"/>
        <v>-0.17200006287892089</v>
      </c>
    </row>
    <row r="292" spans="1:17" x14ac:dyDescent="0.45">
      <c r="A292" t="s">
        <v>313</v>
      </c>
      <c r="B292">
        <v>42.5</v>
      </c>
      <c r="C292">
        <v>115.1</v>
      </c>
      <c r="D292">
        <v>6.4190000000000002E-3</v>
      </c>
      <c r="E292">
        <v>21.02</v>
      </c>
      <c r="F292">
        <v>1</v>
      </c>
      <c r="G292">
        <v>3.4432623535394599E-2</v>
      </c>
      <c r="H292">
        <v>505.30764922301898</v>
      </c>
      <c r="I292">
        <v>31.693201213041799</v>
      </c>
      <c r="K292">
        <v>3.4494273364543908E-2</v>
      </c>
      <c r="L292" s="2">
        <f t="shared" si="14"/>
        <v>0.17904482092669027</v>
      </c>
      <c r="N292">
        <v>28.468133926391602</v>
      </c>
      <c r="O292">
        <v>500.80734252929688</v>
      </c>
      <c r="P292" s="2">
        <f t="shared" si="12"/>
        <v>-10.175896290725841</v>
      </c>
      <c r="Q292" s="2">
        <f t="shared" si="13"/>
        <v>-0.89060727670399586</v>
      </c>
    </row>
    <row r="293" spans="1:17" x14ac:dyDescent="0.45">
      <c r="A293" t="s">
        <v>314</v>
      </c>
      <c r="B293">
        <v>61.2</v>
      </c>
      <c r="C293">
        <v>124.2</v>
      </c>
      <c r="D293">
        <v>1.0751E-2</v>
      </c>
      <c r="E293">
        <v>20.420000000000002</v>
      </c>
      <c r="F293">
        <v>1</v>
      </c>
      <c r="G293">
        <v>5.0609037280082703E-2</v>
      </c>
      <c r="H293">
        <v>505.48022294827598</v>
      </c>
      <c r="I293">
        <v>56.154979746106299</v>
      </c>
      <c r="K293">
        <v>5.5537212640047073E-2</v>
      </c>
      <c r="L293" s="2">
        <f t="shared" si="14"/>
        <v>9.7377378128942684</v>
      </c>
      <c r="N293">
        <v>56.900150299072273</v>
      </c>
      <c r="O293">
        <v>497.2027587890625</v>
      </c>
      <c r="P293" s="2">
        <f t="shared" si="12"/>
        <v>1.326989264950527</v>
      </c>
      <c r="Q293" s="2">
        <f t="shared" si="13"/>
        <v>-1.6375446127118771</v>
      </c>
    </row>
    <row r="294" spans="1:17" x14ac:dyDescent="0.45">
      <c r="A294" t="s">
        <v>315</v>
      </c>
      <c r="B294">
        <v>83.9</v>
      </c>
      <c r="C294">
        <v>118.5</v>
      </c>
      <c r="D294">
        <v>2.4535000000000001E-2</v>
      </c>
      <c r="E294">
        <v>31.49</v>
      </c>
      <c r="F294">
        <v>1</v>
      </c>
      <c r="G294">
        <v>0.115998089313507</v>
      </c>
      <c r="H294">
        <v>569.33778390802399</v>
      </c>
      <c r="I294">
        <v>86.010658950952205</v>
      </c>
      <c r="K294">
        <v>0.1213927790522575</v>
      </c>
      <c r="L294" s="2">
        <f t="shared" si="14"/>
        <v>4.6506712056009123</v>
      </c>
      <c r="N294">
        <v>85.915901184082031</v>
      </c>
      <c r="O294">
        <v>567.30657958984375</v>
      </c>
      <c r="P294" s="2">
        <f t="shared" si="12"/>
        <v>-0.11016979526248004</v>
      </c>
      <c r="Q294" s="2">
        <f t="shared" si="13"/>
        <v>-0.35676611944454806</v>
      </c>
    </row>
    <row r="295" spans="1:17" x14ac:dyDescent="0.45">
      <c r="A295" t="s">
        <v>316</v>
      </c>
      <c r="B295">
        <v>82.4</v>
      </c>
      <c r="C295">
        <v>115</v>
      </c>
      <c r="D295">
        <v>1.9306E-2</v>
      </c>
      <c r="E295">
        <v>23.33</v>
      </c>
      <c r="F295">
        <v>1</v>
      </c>
      <c r="G295">
        <v>0.102091126143932</v>
      </c>
      <c r="H295">
        <v>519.13523446829004</v>
      </c>
      <c r="I295">
        <v>86.5250515447796</v>
      </c>
      <c r="K295">
        <v>0.1045020893216133</v>
      </c>
      <c r="L295" s="2">
        <f t="shared" si="14"/>
        <v>2.3615795698856661</v>
      </c>
      <c r="N295">
        <v>88.276397705078125</v>
      </c>
      <c r="O295">
        <v>513.83453369140625</v>
      </c>
      <c r="P295" s="2">
        <f t="shared" si="12"/>
        <v>2.0240914382953523</v>
      </c>
      <c r="Q295" s="2">
        <f t="shared" si="13"/>
        <v>-1.0210635736009874</v>
      </c>
    </row>
    <row r="296" spans="1:17" x14ac:dyDescent="0.45">
      <c r="A296" t="s">
        <v>317</v>
      </c>
      <c r="B296">
        <v>78.8</v>
      </c>
      <c r="C296">
        <v>114.7</v>
      </c>
      <c r="D296">
        <v>1.8478000000000001E-2</v>
      </c>
      <c r="E296">
        <v>23.73</v>
      </c>
      <c r="F296">
        <v>1</v>
      </c>
      <c r="G296">
        <v>9.8058216273784596E-2</v>
      </c>
      <c r="H296">
        <v>521.43902945413902</v>
      </c>
      <c r="I296">
        <v>82.021459044224201</v>
      </c>
      <c r="K296">
        <v>9.8994135856628418E-2</v>
      </c>
      <c r="L296" s="2">
        <f t="shared" si="14"/>
        <v>0.95445299579045662</v>
      </c>
      <c r="N296">
        <v>83.11151123046875</v>
      </c>
      <c r="O296">
        <v>517.0245361328125</v>
      </c>
      <c r="P296" s="2">
        <f t="shared" si="12"/>
        <v>1.3289841450599118</v>
      </c>
      <c r="Q296" s="2">
        <f t="shared" si="13"/>
        <v>-0.8465981777289987</v>
      </c>
    </row>
    <row r="297" spans="1:17" x14ac:dyDescent="0.45">
      <c r="A297" t="s">
        <v>318</v>
      </c>
      <c r="B297">
        <v>74.099999999999994</v>
      </c>
      <c r="C297">
        <v>107.2</v>
      </c>
      <c r="D297">
        <v>2.2041999999999999E-2</v>
      </c>
      <c r="E297">
        <v>31.12</v>
      </c>
      <c r="F297">
        <v>1</v>
      </c>
      <c r="G297">
        <v>0.142435327172279</v>
      </c>
      <c r="H297">
        <v>563.838979988598</v>
      </c>
      <c r="I297">
        <v>75.231296493041498</v>
      </c>
      <c r="K297">
        <v>0.1526557058095932</v>
      </c>
      <c r="L297" s="2">
        <f t="shared" si="14"/>
        <v>7.1754520737347738</v>
      </c>
      <c r="N297">
        <v>78.316009521484375</v>
      </c>
      <c r="O297">
        <v>562.43896484375</v>
      </c>
      <c r="P297" s="2">
        <f t="shared" si="12"/>
        <v>4.1003055539900171</v>
      </c>
      <c r="Q297" s="2">
        <f t="shared" si="13"/>
        <v>-0.24830052453562351</v>
      </c>
    </row>
    <row r="298" spans="1:17" x14ac:dyDescent="0.45">
      <c r="A298" t="s">
        <v>319</v>
      </c>
      <c r="B298">
        <v>83.6</v>
      </c>
      <c r="C298">
        <v>108.2</v>
      </c>
      <c r="D298">
        <v>2.8451000000000001E-2</v>
      </c>
      <c r="E298">
        <v>35</v>
      </c>
      <c r="F298">
        <v>1</v>
      </c>
      <c r="G298">
        <v>0.17437730729579901</v>
      </c>
      <c r="H298">
        <v>587.32948110277698</v>
      </c>
      <c r="I298">
        <v>87.702534653072505</v>
      </c>
      <c r="K298">
        <v>0.1870415657758713</v>
      </c>
      <c r="L298" s="2">
        <f t="shared" si="14"/>
        <v>7.2625610960890192</v>
      </c>
      <c r="N298">
        <v>90.628608703613281</v>
      </c>
      <c r="O298">
        <v>592.0494384765625</v>
      </c>
      <c r="P298" s="2">
        <f t="shared" si="12"/>
        <v>3.336362012928741</v>
      </c>
      <c r="Q298" s="2">
        <f t="shared" si="13"/>
        <v>0.80363024939992278</v>
      </c>
    </row>
    <row r="299" spans="1:17" x14ac:dyDescent="0.45">
      <c r="A299" t="s">
        <v>320</v>
      </c>
      <c r="B299">
        <v>68.3</v>
      </c>
      <c r="C299">
        <v>130</v>
      </c>
      <c r="D299">
        <v>1.4166E-2</v>
      </c>
      <c r="E299">
        <v>25.75</v>
      </c>
      <c r="F299">
        <v>1</v>
      </c>
      <c r="G299">
        <v>6.1995755881071E-2</v>
      </c>
      <c r="H299">
        <v>540.928291801603</v>
      </c>
      <c r="I299">
        <v>61.672518835966102</v>
      </c>
      <c r="K299">
        <v>7.0742897689342499E-2</v>
      </c>
      <c r="L299" s="2">
        <f t="shared" si="14"/>
        <v>14.109259067752152</v>
      </c>
      <c r="N299">
        <v>63.891899108886719</v>
      </c>
      <c r="O299">
        <v>533.05743408203125</v>
      </c>
      <c r="P299" s="2">
        <f t="shared" si="12"/>
        <v>3.5986535247954254</v>
      </c>
      <c r="Q299" s="2">
        <f t="shared" si="13"/>
        <v>-1.4550649021069415</v>
      </c>
    </row>
    <row r="300" spans="1:17" x14ac:dyDescent="0.45">
      <c r="A300" t="s">
        <v>321</v>
      </c>
      <c r="B300">
        <v>46.6</v>
      </c>
      <c r="C300">
        <v>113.6</v>
      </c>
      <c r="D300">
        <v>7.4689999999999999E-3</v>
      </c>
      <c r="E300">
        <v>20.32</v>
      </c>
      <c r="F300">
        <v>1</v>
      </c>
      <c r="G300">
        <v>4.16215322911739E-2</v>
      </c>
      <c r="H300">
        <v>500.63938254716101</v>
      </c>
      <c r="I300">
        <v>37.726481867102997</v>
      </c>
      <c r="K300">
        <v>4.1954319924116128E-2</v>
      </c>
      <c r="L300" s="2">
        <f t="shared" si="14"/>
        <v>0.79955641857230986</v>
      </c>
      <c r="N300">
        <v>33.802909851074219</v>
      </c>
      <c r="O300">
        <v>498.849609375</v>
      </c>
      <c r="P300" s="2">
        <f t="shared" si="12"/>
        <v>-10.400047451681631</v>
      </c>
      <c r="Q300" s="2">
        <f t="shared" si="13"/>
        <v>-0.35749747913457575</v>
      </c>
    </row>
    <row r="301" spans="1:17" x14ac:dyDescent="0.45">
      <c r="A301" t="s">
        <v>322</v>
      </c>
      <c r="B301">
        <v>69.3</v>
      </c>
      <c r="C301">
        <v>130</v>
      </c>
      <c r="D301">
        <v>1.5474999999999999E-2</v>
      </c>
      <c r="E301">
        <v>28.11</v>
      </c>
      <c r="F301">
        <v>1</v>
      </c>
      <c r="G301">
        <v>6.6867806017398806E-2</v>
      </c>
      <c r="H301">
        <v>555.08829180160296</v>
      </c>
      <c r="I301">
        <v>62.287196527412497</v>
      </c>
      <c r="K301">
        <v>7.8391022980213165E-2</v>
      </c>
      <c r="L301" s="2">
        <f t="shared" si="14"/>
        <v>17.232832433317839</v>
      </c>
      <c r="N301">
        <v>63.650436401367188</v>
      </c>
      <c r="O301">
        <v>544.86370849609375</v>
      </c>
      <c r="P301" s="2">
        <f t="shared" si="12"/>
        <v>2.188635787058951</v>
      </c>
      <c r="Q301" s="2">
        <f t="shared" si="13"/>
        <v>-1.8419742330223092</v>
      </c>
    </row>
    <row r="302" spans="1:17" x14ac:dyDescent="0.45">
      <c r="A302" t="s">
        <v>323</v>
      </c>
      <c r="B302">
        <v>52.6</v>
      </c>
      <c r="C302">
        <v>130</v>
      </c>
      <c r="D302">
        <v>9.0629999999999999E-3</v>
      </c>
      <c r="E302">
        <v>24</v>
      </c>
      <c r="F302">
        <v>1.03</v>
      </c>
      <c r="G302">
        <v>4.00904826819896E-2</v>
      </c>
      <c r="H302">
        <v>535.21823842576202</v>
      </c>
      <c r="I302">
        <v>42.720381344986599</v>
      </c>
      <c r="K302">
        <v>4.3143272399902337E-2</v>
      </c>
      <c r="L302" s="2">
        <f t="shared" si="14"/>
        <v>7.6147492214759067</v>
      </c>
      <c r="N302">
        <v>44.193496704101563</v>
      </c>
      <c r="O302">
        <v>523.26416015625</v>
      </c>
      <c r="P302" s="2">
        <f t="shared" si="12"/>
        <v>3.4482729618419929</v>
      </c>
      <c r="Q302" s="2">
        <f t="shared" si="13"/>
        <v>-2.2334960603496188</v>
      </c>
    </row>
    <row r="303" spans="1:17" x14ac:dyDescent="0.45">
      <c r="A303" t="s">
        <v>324</v>
      </c>
      <c r="B303">
        <v>52.7</v>
      </c>
      <c r="C303">
        <v>106.2</v>
      </c>
      <c r="D303">
        <v>1.1756000000000001E-2</v>
      </c>
      <c r="E303">
        <v>26.59</v>
      </c>
      <c r="F303">
        <v>1</v>
      </c>
      <c r="G303">
        <v>8.07219743728637E-2</v>
      </c>
      <c r="H303">
        <v>536.46216079738599</v>
      </c>
      <c r="I303">
        <v>46.304476070539401</v>
      </c>
      <c r="K303">
        <v>8.2780554890632629E-2</v>
      </c>
      <c r="L303" s="2">
        <f t="shared" si="14"/>
        <v>2.5502108115692499</v>
      </c>
      <c r="N303">
        <v>45.386878967285163</v>
      </c>
      <c r="O303">
        <v>535.4141845703125</v>
      </c>
      <c r="P303" s="2">
        <f t="shared" si="12"/>
        <v>-1.9816596172179703</v>
      </c>
      <c r="Q303" s="2">
        <f t="shared" si="13"/>
        <v>-0.19534951458939831</v>
      </c>
    </row>
    <row r="304" spans="1:17" x14ac:dyDescent="0.45">
      <c r="A304" t="s">
        <v>325</v>
      </c>
      <c r="B304">
        <v>47.2</v>
      </c>
      <c r="C304">
        <v>114.3</v>
      </c>
      <c r="D304">
        <v>7.5110000000000003E-3</v>
      </c>
      <c r="E304">
        <v>20</v>
      </c>
      <c r="F304">
        <v>1</v>
      </c>
      <c r="G304">
        <v>4.1313719004392603E-2</v>
      </c>
      <c r="H304">
        <v>498.93315821430298</v>
      </c>
      <c r="I304">
        <v>38.469892846766697</v>
      </c>
      <c r="K304">
        <v>4.1309256106615073E-2</v>
      </c>
      <c r="L304" s="2">
        <f t="shared" si="14"/>
        <v>-1.0802459534216971E-2</v>
      </c>
      <c r="N304">
        <v>34.799808502197273</v>
      </c>
      <c r="O304">
        <v>497.83346557617188</v>
      </c>
      <c r="P304" s="2">
        <f t="shared" si="12"/>
        <v>-9.5401470422288597</v>
      </c>
      <c r="Q304" s="2">
        <f t="shared" si="13"/>
        <v>-0.2204088102837134</v>
      </c>
    </row>
    <row r="305" spans="1:17" x14ac:dyDescent="0.45">
      <c r="A305" t="s">
        <v>326</v>
      </c>
      <c r="B305">
        <v>61.4</v>
      </c>
      <c r="C305">
        <v>106.6</v>
      </c>
      <c r="D305">
        <v>1.8661000000000001E-2</v>
      </c>
      <c r="E305">
        <v>35</v>
      </c>
      <c r="F305">
        <v>1</v>
      </c>
      <c r="G305">
        <v>0.122278496623039</v>
      </c>
      <c r="H305">
        <v>586.99926851304394</v>
      </c>
      <c r="I305">
        <v>58.569646396649802</v>
      </c>
      <c r="K305">
        <v>0.12548939883708951</v>
      </c>
      <c r="L305" s="2">
        <f t="shared" si="14"/>
        <v>2.6258927797821285</v>
      </c>
      <c r="N305">
        <v>58.405868530273438</v>
      </c>
      <c r="O305">
        <v>589.7177734375</v>
      </c>
      <c r="P305" s="2">
        <f t="shared" si="12"/>
        <v>-0.27962925585586629</v>
      </c>
      <c r="Q305" s="2">
        <f t="shared" si="13"/>
        <v>0.46311896288089616</v>
      </c>
    </row>
    <row r="306" spans="1:17" x14ac:dyDescent="0.45">
      <c r="A306" t="s">
        <v>327</v>
      </c>
      <c r="B306">
        <v>63.2</v>
      </c>
      <c r="C306">
        <v>108.7</v>
      </c>
      <c r="D306">
        <v>1.4968E-2</v>
      </c>
      <c r="E306">
        <v>25.76</v>
      </c>
      <c r="F306">
        <v>1</v>
      </c>
      <c r="G306">
        <v>9.3340240418910897E-2</v>
      </c>
      <c r="H306">
        <v>531.99997374844099</v>
      </c>
      <c r="I306">
        <v>61.483476843038801</v>
      </c>
      <c r="K306">
        <v>9.1494731605052948E-2</v>
      </c>
      <c r="L306" s="2">
        <f t="shared" si="14"/>
        <v>-1.9771845514595927</v>
      </c>
      <c r="N306">
        <v>60.628208160400391</v>
      </c>
      <c r="O306">
        <v>530.60601806640625</v>
      </c>
      <c r="P306" s="2">
        <f t="shared" si="12"/>
        <v>-1.3910545183087584</v>
      </c>
      <c r="Q306" s="2">
        <f t="shared" si="13"/>
        <v>-0.2620217576728458</v>
      </c>
    </row>
    <row r="307" spans="1:17" x14ac:dyDescent="0.45">
      <c r="A307" t="s">
        <v>328</v>
      </c>
      <c r="B307">
        <v>77.599999999999994</v>
      </c>
      <c r="C307">
        <v>116.3</v>
      </c>
      <c r="D307">
        <v>1.7337000000000002E-2</v>
      </c>
      <c r="E307">
        <v>22.76</v>
      </c>
      <c r="F307">
        <v>1.01</v>
      </c>
      <c r="G307">
        <v>8.9585751295089694E-2</v>
      </c>
      <c r="H307">
        <v>517.64985596495296</v>
      </c>
      <c r="I307">
        <v>80.517348479427199</v>
      </c>
      <c r="K307">
        <v>9.2187322676181793E-2</v>
      </c>
      <c r="L307" s="2">
        <f t="shared" si="14"/>
        <v>2.9040012987363255</v>
      </c>
      <c r="N307">
        <v>81.831130981445313</v>
      </c>
      <c r="O307">
        <v>513.662353515625</v>
      </c>
      <c r="P307" s="2">
        <f t="shared" si="12"/>
        <v>1.6316763117873851</v>
      </c>
      <c r="Q307" s="2">
        <f t="shared" si="13"/>
        <v>-0.77030881074908153</v>
      </c>
    </row>
    <row r="308" spans="1:17" x14ac:dyDescent="0.45">
      <c r="A308" t="s">
        <v>329</v>
      </c>
      <c r="B308">
        <v>78.8</v>
      </c>
      <c r="C308">
        <v>110.1</v>
      </c>
      <c r="D308">
        <v>2.0330999999999998E-2</v>
      </c>
      <c r="E308">
        <v>25.9</v>
      </c>
      <c r="F308">
        <v>1</v>
      </c>
      <c r="G308">
        <v>0.12068735063076</v>
      </c>
      <c r="H308">
        <v>533.16843967725799</v>
      </c>
      <c r="I308">
        <v>82.782980835862602</v>
      </c>
      <c r="K308">
        <v>0.1185610070824623</v>
      </c>
      <c r="L308" s="2">
        <f t="shared" si="14"/>
        <v>-1.7618611537866944</v>
      </c>
      <c r="N308">
        <v>82.136222839355469</v>
      </c>
      <c r="O308">
        <v>529.53228759765625</v>
      </c>
      <c r="P308" s="2">
        <f t="shared" si="12"/>
        <v>-0.78126927778728905</v>
      </c>
      <c r="Q308" s="2">
        <f t="shared" si="13"/>
        <v>-0.68198936940131138</v>
      </c>
    </row>
    <row r="309" spans="1:17" x14ac:dyDescent="0.45">
      <c r="A309" t="s">
        <v>330</v>
      </c>
      <c r="B309">
        <v>79</v>
      </c>
      <c r="C309">
        <v>124.9</v>
      </c>
      <c r="D309">
        <v>1.6334999999999999E-2</v>
      </c>
      <c r="E309">
        <v>22.3</v>
      </c>
      <c r="F309">
        <v>1</v>
      </c>
      <c r="G309">
        <v>7.5333535671234103E-2</v>
      </c>
      <c r="H309">
        <v>517.12793854837503</v>
      </c>
      <c r="I309">
        <v>80.177709498674304</v>
      </c>
      <c r="K309">
        <v>8.0110520124435425E-2</v>
      </c>
      <c r="L309" s="2">
        <f t="shared" si="14"/>
        <v>6.3411127735312167</v>
      </c>
      <c r="N309">
        <v>79.659309387207031</v>
      </c>
      <c r="O309">
        <v>506.79718017578119</v>
      </c>
      <c r="P309" s="2">
        <f t="shared" si="12"/>
        <v>-0.64656388254124919</v>
      </c>
      <c r="Q309" s="2">
        <f t="shared" si="13"/>
        <v>-1.9977180891818009</v>
      </c>
    </row>
    <row r="310" spans="1:17" x14ac:dyDescent="0.45">
      <c r="A310" t="s">
        <v>331</v>
      </c>
      <c r="B310">
        <v>84.7</v>
      </c>
      <c r="C310">
        <v>127.3</v>
      </c>
      <c r="D310">
        <v>1.9820999999999998E-2</v>
      </c>
      <c r="E310">
        <v>26.25</v>
      </c>
      <c r="F310">
        <v>1.06</v>
      </c>
      <c r="G310">
        <v>8.7633058428764302E-2</v>
      </c>
      <c r="H310">
        <v>552.54481625580104</v>
      </c>
      <c r="I310">
        <v>85.654330870483193</v>
      </c>
      <c r="K310">
        <v>9.4516456127166748E-2</v>
      </c>
      <c r="L310" s="2">
        <f t="shared" si="14"/>
        <v>7.8547956921963022</v>
      </c>
      <c r="N310">
        <v>85.035209655761719</v>
      </c>
      <c r="O310">
        <v>539.44610595703125</v>
      </c>
      <c r="P310" s="2">
        <f t="shared" si="12"/>
        <v>-0.7228136726181883</v>
      </c>
      <c r="Q310" s="2">
        <f t="shared" si="13"/>
        <v>-2.3706150005225513</v>
      </c>
    </row>
    <row r="311" spans="1:17" x14ac:dyDescent="0.45">
      <c r="A311" t="s">
        <v>332</v>
      </c>
      <c r="B311">
        <v>89.9</v>
      </c>
      <c r="C311">
        <v>117.1</v>
      </c>
      <c r="D311">
        <v>2.8445999999999999E-2</v>
      </c>
      <c r="E311">
        <v>33.36</v>
      </c>
      <c r="F311">
        <v>1</v>
      </c>
      <c r="G311">
        <v>0.136784553527832</v>
      </c>
      <c r="H311">
        <v>580.03339818421</v>
      </c>
      <c r="I311">
        <v>93.763213381531202</v>
      </c>
      <c r="K311">
        <v>0.14977109432220459</v>
      </c>
      <c r="L311" s="2">
        <f t="shared" si="14"/>
        <v>9.4941573879759549</v>
      </c>
      <c r="N311">
        <v>93.878608703613281</v>
      </c>
      <c r="O311">
        <v>581.71429443359375</v>
      </c>
      <c r="P311" s="2">
        <f t="shared" si="12"/>
        <v>0.12307099759105453</v>
      </c>
      <c r="Q311" s="2">
        <f t="shared" si="13"/>
        <v>0.28979301099657062</v>
      </c>
    </row>
    <row r="312" spans="1:17" x14ac:dyDescent="0.45">
      <c r="A312" t="s">
        <v>333</v>
      </c>
      <c r="B312">
        <v>46.4</v>
      </c>
      <c r="C312">
        <v>106.1</v>
      </c>
      <c r="D312">
        <v>1.0011000000000001E-2</v>
      </c>
      <c r="E312">
        <v>28.38</v>
      </c>
      <c r="F312">
        <v>1</v>
      </c>
      <c r="G312">
        <v>6.8586200475692694E-2</v>
      </c>
      <c r="H312">
        <v>547.18321835852396</v>
      </c>
      <c r="I312">
        <v>37.786299894548698</v>
      </c>
      <c r="K312">
        <v>7.526823878288269E-2</v>
      </c>
      <c r="L312" s="2">
        <f t="shared" si="14"/>
        <v>9.7425404248164256</v>
      </c>
      <c r="N312">
        <v>36.822357177734382</v>
      </c>
      <c r="O312">
        <v>541.552490234375</v>
      </c>
      <c r="P312" s="2">
        <f t="shared" si="12"/>
        <v>-2.5510375969714372</v>
      </c>
      <c r="Q312" s="2">
        <f t="shared" si="13"/>
        <v>-1.0290388914046718</v>
      </c>
    </row>
    <row r="313" spans="1:17" x14ac:dyDescent="0.45">
      <c r="A313" t="s">
        <v>334</v>
      </c>
      <c r="B313">
        <v>52.6</v>
      </c>
      <c r="C313">
        <v>130</v>
      </c>
      <c r="D313">
        <v>1.0606000000000001E-2</v>
      </c>
      <c r="E313">
        <v>29.42</v>
      </c>
      <c r="F313">
        <v>1</v>
      </c>
      <c r="G313">
        <v>4.5533001422881997E-2</v>
      </c>
      <c r="H313">
        <v>562.94829180160298</v>
      </c>
      <c r="I313">
        <v>41.0451351216837</v>
      </c>
      <c r="K313">
        <v>5.3636066615581512E-2</v>
      </c>
      <c r="L313" s="2">
        <f t="shared" si="14"/>
        <v>17.796026924391217</v>
      </c>
      <c r="N313">
        <v>40.592067718505859</v>
      </c>
      <c r="O313">
        <v>551.191162109375</v>
      </c>
      <c r="P313" s="2">
        <f t="shared" si="12"/>
        <v>-1.1038272911872806</v>
      </c>
      <c r="Q313" s="2">
        <f t="shared" si="13"/>
        <v>-2.0884919385049812</v>
      </c>
    </row>
    <row r="314" spans="1:17" x14ac:dyDescent="0.45">
      <c r="A314" t="s">
        <v>335</v>
      </c>
      <c r="B314">
        <v>88.6</v>
      </c>
      <c r="C314">
        <v>118.4</v>
      </c>
      <c r="D314">
        <v>2.3137000000000001E-2</v>
      </c>
      <c r="E314">
        <v>26.82</v>
      </c>
      <c r="F314">
        <v>1</v>
      </c>
      <c r="G314">
        <v>0.112246818840503</v>
      </c>
      <c r="H314">
        <v>541.279063826673</v>
      </c>
      <c r="I314">
        <v>93.546703434588494</v>
      </c>
      <c r="K314">
        <v>0.10944442451000209</v>
      </c>
      <c r="L314" s="2">
        <f t="shared" si="14"/>
        <v>-2.4966358596611662</v>
      </c>
      <c r="N314">
        <v>96.239791870117188</v>
      </c>
      <c r="O314">
        <v>538.76971435546875</v>
      </c>
      <c r="P314" s="2">
        <f t="shared" si="12"/>
        <v>2.8788704857053631</v>
      </c>
      <c r="Q314" s="2">
        <f t="shared" si="13"/>
        <v>-0.46359625540731852</v>
      </c>
    </row>
    <row r="315" spans="1:17" x14ac:dyDescent="0.45">
      <c r="A315" t="s">
        <v>336</v>
      </c>
      <c r="B315">
        <v>61.1</v>
      </c>
      <c r="C315">
        <v>130</v>
      </c>
      <c r="D315">
        <v>1.191E-2</v>
      </c>
      <c r="E315">
        <v>25.35</v>
      </c>
      <c r="F315">
        <v>1.18</v>
      </c>
      <c r="G315">
        <v>5.2301310002803802E-2</v>
      </c>
      <c r="H315">
        <v>568.72597154656</v>
      </c>
      <c r="I315">
        <v>55.2352262200518</v>
      </c>
      <c r="K315">
        <v>6.1702776700258262E-2</v>
      </c>
      <c r="L315" s="2">
        <f t="shared" si="14"/>
        <v>17.975585500536141</v>
      </c>
      <c r="N315">
        <v>56.382827758789063</v>
      </c>
      <c r="O315">
        <v>558.27435302734375</v>
      </c>
      <c r="P315" s="2">
        <f t="shared" si="12"/>
        <v>2.0776624217403024</v>
      </c>
      <c r="Q315" s="2">
        <f t="shared" si="13"/>
        <v>-1.8377248520574392</v>
      </c>
    </row>
    <row r="316" spans="1:17" x14ac:dyDescent="0.45">
      <c r="A316" t="s">
        <v>337</v>
      </c>
      <c r="B316">
        <v>56.1</v>
      </c>
      <c r="C316">
        <v>130</v>
      </c>
      <c r="D316">
        <v>1.0796E-2</v>
      </c>
      <c r="E316">
        <v>26.41</v>
      </c>
      <c r="F316">
        <v>1</v>
      </c>
      <c r="G316">
        <v>4.7071687877178102E-2</v>
      </c>
      <c r="H316">
        <v>544.88829180160303</v>
      </c>
      <c r="I316">
        <v>46.2163805492319</v>
      </c>
      <c r="K316">
        <v>5.6145817041397088E-2</v>
      </c>
      <c r="L316" s="2">
        <f t="shared" si="14"/>
        <v>19.277254701160658</v>
      </c>
      <c r="N316">
        <v>47.531211853027337</v>
      </c>
      <c r="O316">
        <v>532.4996337890625</v>
      </c>
      <c r="P316" s="2">
        <f t="shared" si="12"/>
        <v>2.8449465063470636</v>
      </c>
      <c r="Q316" s="2">
        <f t="shared" si="13"/>
        <v>-2.2736142800167403</v>
      </c>
    </row>
    <row r="317" spans="1:17" x14ac:dyDescent="0.45">
      <c r="A317" t="s">
        <v>338</v>
      </c>
      <c r="B317">
        <v>69.599999999999994</v>
      </c>
      <c r="C317">
        <v>106.7</v>
      </c>
      <c r="D317">
        <v>2.0421000000000002E-2</v>
      </c>
      <c r="E317">
        <v>31.45</v>
      </c>
      <c r="F317">
        <v>1</v>
      </c>
      <c r="G317">
        <v>0.134754657745361</v>
      </c>
      <c r="H317">
        <v>565.71888155265503</v>
      </c>
      <c r="I317">
        <v>69.430321498393795</v>
      </c>
      <c r="K317">
        <v>0.1400781124830246</v>
      </c>
      <c r="L317" s="2">
        <f t="shared" si="14"/>
        <v>3.9504792092033383</v>
      </c>
      <c r="N317">
        <v>70.842781066894531</v>
      </c>
      <c r="O317">
        <v>564.12335205078125</v>
      </c>
      <c r="P317" s="2">
        <f t="shared" si="12"/>
        <v>2.0343555063811887</v>
      </c>
      <c r="Q317" s="2">
        <f t="shared" si="13"/>
        <v>-0.28203575201427644</v>
      </c>
    </row>
    <row r="318" spans="1:17" x14ac:dyDescent="0.45">
      <c r="A318" t="s">
        <v>339</v>
      </c>
      <c r="B318">
        <v>65</v>
      </c>
      <c r="C318">
        <v>113.8</v>
      </c>
      <c r="D318">
        <v>1.9503E-2</v>
      </c>
      <c r="E318">
        <v>35</v>
      </c>
      <c r="F318">
        <v>1</v>
      </c>
      <c r="G318">
        <v>0.10015612095594401</v>
      </c>
      <c r="H318">
        <v>588.77962600710998</v>
      </c>
      <c r="I318">
        <v>60.9169212954057</v>
      </c>
      <c r="K318">
        <v>0.1058567240834236</v>
      </c>
      <c r="L318" s="2">
        <f t="shared" si="14"/>
        <v>5.6917171642331645</v>
      </c>
      <c r="N318">
        <v>62.826320648193359</v>
      </c>
      <c r="O318">
        <v>585.52374267578125</v>
      </c>
      <c r="P318" s="2">
        <f t="shared" si="12"/>
        <v>3.1344318002027203</v>
      </c>
      <c r="Q318" s="2">
        <f t="shared" si="13"/>
        <v>-0.55298845060399815</v>
      </c>
    </row>
    <row r="319" spans="1:17" x14ac:dyDescent="0.45">
      <c r="A319" t="s">
        <v>340</v>
      </c>
      <c r="B319">
        <v>78.900000000000006</v>
      </c>
      <c r="C319">
        <v>112.2</v>
      </c>
      <c r="D319">
        <v>2.0674000000000001E-2</v>
      </c>
      <c r="E319">
        <v>26.77</v>
      </c>
      <c r="F319">
        <v>1.46</v>
      </c>
      <c r="G319">
        <v>0.114401653409004</v>
      </c>
      <c r="H319">
        <v>618.78310965675496</v>
      </c>
      <c r="I319">
        <v>89.964999006085094</v>
      </c>
      <c r="K319">
        <v>0.10888034105300901</v>
      </c>
      <c r="L319" s="2">
        <f t="shared" si="14"/>
        <v>-4.82625223628144</v>
      </c>
      <c r="N319">
        <v>87.517959594726563</v>
      </c>
      <c r="O319">
        <v>613.75457763671875</v>
      </c>
      <c r="P319" s="2">
        <f t="shared" si="12"/>
        <v>-2.7199904834023481</v>
      </c>
      <c r="Q319" s="2">
        <f t="shared" si="13"/>
        <v>-0.81264855836572292</v>
      </c>
    </row>
    <row r="320" spans="1:17" x14ac:dyDescent="0.45">
      <c r="A320" t="s">
        <v>341</v>
      </c>
      <c r="B320">
        <v>77.5</v>
      </c>
      <c r="C320">
        <v>105.2</v>
      </c>
      <c r="D320">
        <v>2.5152000000000001E-2</v>
      </c>
      <c r="E320">
        <v>33.54</v>
      </c>
      <c r="F320">
        <v>1</v>
      </c>
      <c r="G320">
        <v>0.17683148384094199</v>
      </c>
      <c r="H320">
        <v>577.978691222625</v>
      </c>
      <c r="I320">
        <v>80.928743302030398</v>
      </c>
      <c r="K320">
        <v>0.18503120541572571</v>
      </c>
      <c r="L320" s="2">
        <f t="shared" si="14"/>
        <v>4.6370258263281183</v>
      </c>
      <c r="N320">
        <v>84.200546264648438</v>
      </c>
      <c r="O320">
        <v>581.0882568359375</v>
      </c>
      <c r="P320" s="2">
        <f t="shared" si="12"/>
        <v>4.0428194348792692</v>
      </c>
      <c r="Q320" s="2">
        <f t="shared" si="13"/>
        <v>0.53800696470914688</v>
      </c>
    </row>
    <row r="321" spans="1:17" x14ac:dyDescent="0.45">
      <c r="A321" t="s">
        <v>342</v>
      </c>
      <c r="B321">
        <v>80.7</v>
      </c>
      <c r="C321">
        <v>118.5</v>
      </c>
      <c r="D321">
        <v>2.2284000000000002E-2</v>
      </c>
      <c r="E321">
        <v>29.81</v>
      </c>
      <c r="F321">
        <v>1</v>
      </c>
      <c r="G321">
        <v>0.106194019317626</v>
      </c>
      <c r="H321">
        <v>559.25778390802498</v>
      </c>
      <c r="I321">
        <v>82.183981910702599</v>
      </c>
      <c r="K321">
        <v>0.1089083030819893</v>
      </c>
      <c r="L321" s="2">
        <f t="shared" si="14"/>
        <v>2.5559666936090739</v>
      </c>
      <c r="N321">
        <v>82.34979248046875</v>
      </c>
      <c r="O321">
        <v>558.39227294921875</v>
      </c>
      <c r="P321" s="2">
        <f t="shared" si="12"/>
        <v>0.20175533712434796</v>
      </c>
      <c r="Q321" s="2">
        <f t="shared" si="13"/>
        <v>-0.15476064593292582</v>
      </c>
    </row>
    <row r="322" spans="1:17" x14ac:dyDescent="0.45">
      <c r="A322" t="s">
        <v>343</v>
      </c>
      <c r="B322">
        <v>89.4</v>
      </c>
      <c r="C322">
        <v>106.3</v>
      </c>
      <c r="D322">
        <v>3.1330999999999998E-2</v>
      </c>
      <c r="E322">
        <v>35</v>
      </c>
      <c r="F322">
        <v>1</v>
      </c>
      <c r="G322">
        <v>0.20804701745510101</v>
      </c>
      <c r="H322">
        <v>586.94123671078296</v>
      </c>
      <c r="I322">
        <v>97.038300400708096</v>
      </c>
      <c r="K322">
        <v>0.2212710231542587</v>
      </c>
      <c r="L322" s="2">
        <f t="shared" si="14"/>
        <v>6.356258244370931</v>
      </c>
      <c r="N322">
        <v>100.387077331543</v>
      </c>
      <c r="O322">
        <v>592.885009765625</v>
      </c>
      <c r="P322" s="2">
        <f t="shared" ref="P322:P425" si="15">(N322-I322)/I322*100</f>
        <v>3.4509847318084983</v>
      </c>
      <c r="Q322" s="2">
        <f t="shared" ref="Q322:Q425" si="16">(O322-H322)/H322*100</f>
        <v>1.0126691878306127</v>
      </c>
    </row>
    <row r="323" spans="1:17" x14ac:dyDescent="0.45">
      <c r="A323" t="s">
        <v>344</v>
      </c>
      <c r="B323">
        <v>86.1</v>
      </c>
      <c r="C323">
        <v>126.7</v>
      </c>
      <c r="D323">
        <v>2.5658E-2</v>
      </c>
      <c r="E323">
        <v>35</v>
      </c>
      <c r="F323">
        <v>1</v>
      </c>
      <c r="G323">
        <v>0.10920701920986101</v>
      </c>
      <c r="H323">
        <v>594.33397059512697</v>
      </c>
      <c r="I323">
        <v>83.8731736874945</v>
      </c>
      <c r="K323">
        <v>0.12420216202735899</v>
      </c>
      <c r="L323" s="2">
        <f t="shared" si="14"/>
        <v>13.730933163446313</v>
      </c>
      <c r="N323">
        <v>86.9361572265625</v>
      </c>
      <c r="O323">
        <v>589.38067626953125</v>
      </c>
      <c r="P323" s="2">
        <f t="shared" si="15"/>
        <v>3.6519227834163752</v>
      </c>
      <c r="Q323" s="2">
        <f t="shared" si="16"/>
        <v>-0.83341935185630023</v>
      </c>
    </row>
    <row r="324" spans="1:17" x14ac:dyDescent="0.45">
      <c r="A324" t="s">
        <v>345</v>
      </c>
      <c r="B324">
        <v>51.7</v>
      </c>
      <c r="C324">
        <v>130</v>
      </c>
      <c r="D324">
        <v>8.4919999999999995E-3</v>
      </c>
      <c r="E324">
        <v>22.84</v>
      </c>
      <c r="F324">
        <v>1</v>
      </c>
      <c r="G324">
        <v>3.7838697433471603E-2</v>
      </c>
      <c r="H324">
        <v>523.46829180160205</v>
      </c>
      <c r="I324">
        <v>41.227195452831403</v>
      </c>
      <c r="K324">
        <v>3.8820572197437293E-2</v>
      </c>
      <c r="L324" s="2">
        <f t="shared" si="14"/>
        <v>2.5948957827949348</v>
      </c>
      <c r="N324">
        <v>42.782344818115227</v>
      </c>
      <c r="O324">
        <v>511.0596923828125</v>
      </c>
      <c r="P324" s="2">
        <f t="shared" si="15"/>
        <v>3.7721444502891108</v>
      </c>
      <c r="Q324" s="2">
        <f t="shared" si="16"/>
        <v>-2.3704586530128342</v>
      </c>
    </row>
    <row r="325" spans="1:17" x14ac:dyDescent="0.45">
      <c r="A325" t="s">
        <v>346</v>
      </c>
      <c r="B325">
        <v>71.900000000000006</v>
      </c>
      <c r="C325">
        <v>114.5</v>
      </c>
      <c r="D325">
        <v>1.7627E-2</v>
      </c>
      <c r="E325">
        <v>26.16</v>
      </c>
      <c r="F325">
        <v>1</v>
      </c>
      <c r="G325">
        <v>9.2682629823684595E-2</v>
      </c>
      <c r="H325">
        <v>535.95575268932998</v>
      </c>
      <c r="I325">
        <v>71.739140629435894</v>
      </c>
      <c r="K325">
        <v>9.2187978327274323E-2</v>
      </c>
      <c r="L325" s="2">
        <f t="shared" si="14"/>
        <v>-0.5337046406120286</v>
      </c>
      <c r="N325">
        <v>72.155113220214844</v>
      </c>
      <c r="O325">
        <v>534.34149169921875</v>
      </c>
      <c r="P325" s="2">
        <f t="shared" si="15"/>
        <v>0.57984049868624732</v>
      </c>
      <c r="Q325" s="2">
        <f t="shared" si="16"/>
        <v>-0.30119295893572579</v>
      </c>
    </row>
    <row r="326" spans="1:17" x14ac:dyDescent="0.45">
      <c r="A326" t="s">
        <v>347</v>
      </c>
      <c r="B326">
        <v>53.6</v>
      </c>
      <c r="C326">
        <v>111.5</v>
      </c>
      <c r="D326">
        <v>9.4269999999999996E-3</v>
      </c>
      <c r="E326">
        <v>20</v>
      </c>
      <c r="F326">
        <v>1</v>
      </c>
      <c r="G326">
        <v>5.5612966418266199E-2</v>
      </c>
      <c r="H326">
        <v>498.12593404415998</v>
      </c>
      <c r="I326">
        <v>47.6440349307586</v>
      </c>
      <c r="K326">
        <v>5.3257565945386887E-2</v>
      </c>
      <c r="L326" s="2">
        <f t="shared" si="14"/>
        <v>-4.2353440655625167</v>
      </c>
      <c r="N326">
        <v>45.286266326904297</v>
      </c>
      <c r="O326">
        <v>495.40036010742188</v>
      </c>
      <c r="P326" s="2">
        <f t="shared" si="15"/>
        <v>-4.9487173101120945</v>
      </c>
      <c r="Q326" s="2">
        <f t="shared" si="16"/>
        <v>-0.54716563633012394</v>
      </c>
    </row>
    <row r="327" spans="1:17" x14ac:dyDescent="0.45">
      <c r="A327" t="s">
        <v>348</v>
      </c>
      <c r="B327">
        <v>64.5</v>
      </c>
      <c r="C327">
        <v>122</v>
      </c>
      <c r="D327">
        <v>1.5036000000000001E-2</v>
      </c>
      <c r="E327">
        <v>27.88</v>
      </c>
      <c r="F327">
        <v>1</v>
      </c>
      <c r="G327">
        <v>6.8933159112930298E-2</v>
      </c>
      <c r="H327">
        <v>549.16405190667695</v>
      </c>
      <c r="I327">
        <v>59.026760297600497</v>
      </c>
      <c r="K327">
        <v>7.7971652150154114E-2</v>
      </c>
      <c r="L327" s="2">
        <f t="shared" si="14"/>
        <v>13.111966945278732</v>
      </c>
      <c r="N327">
        <v>61.140056610107422</v>
      </c>
      <c r="O327">
        <v>538.29296875</v>
      </c>
      <c r="P327" s="2">
        <f t="shared" si="15"/>
        <v>3.5802342900950865</v>
      </c>
      <c r="Q327" s="2">
        <f t="shared" si="16"/>
        <v>-1.9795693325032753</v>
      </c>
    </row>
    <row r="328" spans="1:17" x14ac:dyDescent="0.45">
      <c r="A328" t="s">
        <v>349</v>
      </c>
      <c r="B328">
        <v>45.5</v>
      </c>
      <c r="C328">
        <v>106.7</v>
      </c>
      <c r="D328">
        <v>8.0800000000000004E-3</v>
      </c>
      <c r="E328">
        <v>22.76</v>
      </c>
      <c r="F328">
        <v>1</v>
      </c>
      <c r="G328">
        <v>5.5252682417631101E-2</v>
      </c>
      <c r="H328">
        <v>513.57888155265505</v>
      </c>
      <c r="I328">
        <v>36.414440687748197</v>
      </c>
      <c r="K328">
        <v>5.763346329331398E-2</v>
      </c>
      <c r="L328" s="2">
        <f t="shared" si="14"/>
        <v>4.3088964580716418</v>
      </c>
      <c r="N328">
        <v>34.482940673828118</v>
      </c>
      <c r="O328">
        <v>513.78875732421875</v>
      </c>
      <c r="P328" s="2">
        <f t="shared" si="15"/>
        <v>-5.3042144199950343</v>
      </c>
      <c r="Q328" s="2">
        <f t="shared" si="16"/>
        <v>4.0865343008108956E-2</v>
      </c>
    </row>
    <row r="329" spans="1:17" x14ac:dyDescent="0.45">
      <c r="A329" t="s">
        <v>350</v>
      </c>
      <c r="B329">
        <v>80.7</v>
      </c>
      <c r="C329">
        <v>110.7</v>
      </c>
      <c r="D329">
        <v>2.6075999999999998E-2</v>
      </c>
      <c r="E329">
        <v>33.869999999999997</v>
      </c>
      <c r="F329">
        <v>1</v>
      </c>
      <c r="G329">
        <v>0.14678087830543499</v>
      </c>
      <c r="H329">
        <v>581.13802696960204</v>
      </c>
      <c r="I329">
        <v>83.509494468514106</v>
      </c>
      <c r="K329">
        <v>0.15783305466175079</v>
      </c>
      <c r="L329" s="2">
        <f t="shared" ref="L329:L432" si="17">(K329-G329)/G329*100</f>
        <v>7.5297112838618077</v>
      </c>
      <c r="N329">
        <v>85.037353515625</v>
      </c>
      <c r="O329">
        <v>583.83685302734375</v>
      </c>
      <c r="P329" s="2">
        <f t="shared" si="15"/>
        <v>1.8295632811990599</v>
      </c>
      <c r="Q329" s="2">
        <f t="shared" si="16"/>
        <v>0.46440362400908275</v>
      </c>
    </row>
    <row r="330" spans="1:17" x14ac:dyDescent="0.45">
      <c r="A330" t="s">
        <v>351</v>
      </c>
      <c r="B330">
        <v>87.6</v>
      </c>
      <c r="C330">
        <v>112.8</v>
      </c>
      <c r="D330">
        <v>2.1257000000000002E-2</v>
      </c>
      <c r="E330">
        <v>23.41</v>
      </c>
      <c r="F330">
        <v>1.01</v>
      </c>
      <c r="G330">
        <v>0.118338927626609</v>
      </c>
      <c r="H330">
        <v>520.47974991583999</v>
      </c>
      <c r="I330">
        <v>95.519221722097896</v>
      </c>
      <c r="K330">
        <v>0.1160010248422623</v>
      </c>
      <c r="L330" s="2">
        <f t="shared" si="17"/>
        <v>-1.9755990959487233</v>
      </c>
      <c r="N330">
        <v>95.734268188476563</v>
      </c>
      <c r="O330">
        <v>517.5936279296875</v>
      </c>
      <c r="P330" s="2">
        <f t="shared" si="15"/>
        <v>0.22513423214891676</v>
      </c>
      <c r="Q330" s="2">
        <f t="shared" si="16"/>
        <v>-0.55451186844813194</v>
      </c>
    </row>
    <row r="331" spans="1:17" x14ac:dyDescent="0.45">
      <c r="A331" t="s">
        <v>352</v>
      </c>
      <c r="B331">
        <v>83</v>
      </c>
      <c r="C331">
        <v>114.3</v>
      </c>
      <c r="D331">
        <v>2.7227999999999999E-2</v>
      </c>
      <c r="E331">
        <v>35</v>
      </c>
      <c r="F331">
        <v>1</v>
      </c>
      <c r="G331">
        <v>0.13804371654987299</v>
      </c>
      <c r="H331">
        <v>588.93315821430303</v>
      </c>
      <c r="I331">
        <v>85.142226464367297</v>
      </c>
      <c r="K331">
        <v>0.14954771101474759</v>
      </c>
      <c r="L331" s="2">
        <f t="shared" si="17"/>
        <v>8.3335879041755518</v>
      </c>
      <c r="N331">
        <v>85.807968139648438</v>
      </c>
      <c r="O331">
        <v>588.12286376953125</v>
      </c>
      <c r="P331" s="2">
        <f t="shared" si="15"/>
        <v>0.78191715547837859</v>
      </c>
      <c r="Q331" s="2">
        <f t="shared" si="16"/>
        <v>-0.13758682686990631</v>
      </c>
    </row>
    <row r="332" spans="1:17" x14ac:dyDescent="0.45">
      <c r="A332" t="s">
        <v>353</v>
      </c>
      <c r="B332">
        <v>53.6</v>
      </c>
      <c r="C332">
        <v>100</v>
      </c>
      <c r="D332">
        <v>1.3809999999999999E-2</v>
      </c>
      <c r="E332">
        <v>30.52</v>
      </c>
      <c r="F332">
        <v>1</v>
      </c>
      <c r="G332">
        <v>0.13608303666114799</v>
      </c>
      <c r="H332">
        <v>559.10898741352798</v>
      </c>
      <c r="I332">
        <v>49.252182316492899</v>
      </c>
      <c r="K332">
        <v>0.12535339593887329</v>
      </c>
      <c r="L332" s="2">
        <f t="shared" si="17"/>
        <v>-7.8846276402487367</v>
      </c>
      <c r="N332">
        <v>50.719982147216797</v>
      </c>
      <c r="O332">
        <v>558.1580810546875</v>
      </c>
      <c r="P332" s="2">
        <f t="shared" si="15"/>
        <v>2.9801721704266111</v>
      </c>
      <c r="Q332" s="2">
        <f t="shared" si="16"/>
        <v>-0.1700753127291755</v>
      </c>
    </row>
    <row r="333" spans="1:17" x14ac:dyDescent="0.45">
      <c r="A333" t="s">
        <v>354</v>
      </c>
      <c r="B333">
        <v>88.6</v>
      </c>
      <c r="C333">
        <v>110.5</v>
      </c>
      <c r="D333">
        <v>2.5885999999999999E-2</v>
      </c>
      <c r="E333">
        <v>28.93</v>
      </c>
      <c r="F333">
        <v>1</v>
      </c>
      <c r="G333">
        <v>0.149561136960983</v>
      </c>
      <c r="H333">
        <v>551.44756648041903</v>
      </c>
      <c r="I333">
        <v>95.314183377869895</v>
      </c>
      <c r="K333">
        <v>0.1554664671421051</v>
      </c>
      <c r="L333" s="2">
        <f t="shared" si="17"/>
        <v>3.9484389468519927</v>
      </c>
      <c r="N333">
        <v>95.958770751953125</v>
      </c>
      <c r="O333">
        <v>543.261474609375</v>
      </c>
      <c r="P333" s="2">
        <f t="shared" si="15"/>
        <v>0.67627644830967559</v>
      </c>
      <c r="Q333" s="2">
        <f t="shared" si="16"/>
        <v>-1.4844732969430379</v>
      </c>
    </row>
    <row r="334" spans="1:17" x14ac:dyDescent="0.45">
      <c r="A334" t="s">
        <v>355</v>
      </c>
      <c r="B334">
        <v>44.2</v>
      </c>
      <c r="C334">
        <v>130</v>
      </c>
      <c r="D334">
        <v>6.5139999999999998E-3</v>
      </c>
      <c r="E334">
        <v>22.99</v>
      </c>
      <c r="F334">
        <v>1</v>
      </c>
      <c r="G334">
        <v>2.89989691227674E-2</v>
      </c>
      <c r="H334">
        <v>524.36829180160203</v>
      </c>
      <c r="I334">
        <v>31.558769746413599</v>
      </c>
      <c r="K334">
        <v>2.9564350843429569E-2</v>
      </c>
      <c r="L334" s="2">
        <f t="shared" si="17"/>
        <v>1.9496614457866428</v>
      </c>
      <c r="N334">
        <v>32.587497711181641</v>
      </c>
      <c r="O334">
        <v>511.38162231445313</v>
      </c>
      <c r="P334" s="2">
        <f t="shared" si="15"/>
        <v>3.2597213802510412</v>
      </c>
      <c r="Q334" s="2">
        <f t="shared" si="16"/>
        <v>-2.4766313467448349</v>
      </c>
    </row>
    <row r="335" spans="1:17" x14ac:dyDescent="0.45">
      <c r="A335" t="s">
        <v>356</v>
      </c>
      <c r="B335">
        <v>58.4</v>
      </c>
      <c r="C335">
        <v>109.5</v>
      </c>
      <c r="D335">
        <v>1.7066000000000001E-2</v>
      </c>
      <c r="E335">
        <v>35</v>
      </c>
      <c r="F335">
        <v>1</v>
      </c>
      <c r="G335">
        <v>9.9653229117393494E-2</v>
      </c>
      <c r="H335">
        <v>587.62418257069999</v>
      </c>
      <c r="I335">
        <v>53.728720302243801</v>
      </c>
      <c r="K335">
        <v>0.1035933792591095</v>
      </c>
      <c r="L335" s="2">
        <f t="shared" si="17"/>
        <v>3.9538609803345439</v>
      </c>
      <c r="N335">
        <v>52.372417449951172</v>
      </c>
      <c r="O335">
        <v>588.033935546875</v>
      </c>
      <c r="P335" s="2">
        <f t="shared" si="15"/>
        <v>-2.5243535387832186</v>
      </c>
      <c r="Q335" s="2">
        <f t="shared" si="16"/>
        <v>6.9730448189258179E-2</v>
      </c>
    </row>
    <row r="336" spans="1:17" x14ac:dyDescent="0.45">
      <c r="A336" t="s">
        <v>357</v>
      </c>
      <c r="B336">
        <v>58.8</v>
      </c>
      <c r="C336">
        <v>123.3</v>
      </c>
      <c r="D336">
        <v>1.2564000000000001E-2</v>
      </c>
      <c r="E336">
        <v>26.81</v>
      </c>
      <c r="F336">
        <v>1</v>
      </c>
      <c r="G336">
        <v>5.7126943022012697E-2</v>
      </c>
      <c r="H336">
        <v>543.36575540887304</v>
      </c>
      <c r="I336">
        <v>51.602675245056503</v>
      </c>
      <c r="K336">
        <v>6.6350363194942474E-2</v>
      </c>
      <c r="L336" s="2">
        <f t="shared" si="17"/>
        <v>16.14548177271751</v>
      </c>
      <c r="N336">
        <v>53.584442138671882</v>
      </c>
      <c r="O336">
        <v>533.23565673828125</v>
      </c>
      <c r="P336" s="2">
        <f t="shared" si="15"/>
        <v>3.8404344042322327</v>
      </c>
      <c r="Q336" s="2">
        <f t="shared" si="16"/>
        <v>-1.8643240892074757</v>
      </c>
    </row>
    <row r="337" spans="1:17" x14ac:dyDescent="0.45">
      <c r="A337" t="s">
        <v>358</v>
      </c>
      <c r="B337">
        <v>76.900000000000006</v>
      </c>
      <c r="C337">
        <v>103.2</v>
      </c>
      <c r="D337">
        <v>2.5992000000000001E-2</v>
      </c>
      <c r="E337">
        <v>35</v>
      </c>
      <c r="F337">
        <v>1</v>
      </c>
      <c r="G337">
        <v>0.203276306390762</v>
      </c>
      <c r="H337">
        <v>586.41060155888499</v>
      </c>
      <c r="I337">
        <v>81.686628070813796</v>
      </c>
      <c r="K337">
        <v>0.19584089517593381</v>
      </c>
      <c r="L337" s="2">
        <f t="shared" si="17"/>
        <v>-3.6577854777304695</v>
      </c>
      <c r="N337">
        <v>83.849693298339844</v>
      </c>
      <c r="O337">
        <v>586.5213623046875</v>
      </c>
      <c r="P337" s="2">
        <f t="shared" si="15"/>
        <v>2.6480040596741183</v>
      </c>
      <c r="Q337" s="2">
        <f t="shared" si="16"/>
        <v>1.888791667614257E-2</v>
      </c>
    </row>
    <row r="338" spans="1:17" x14ac:dyDescent="0.45">
      <c r="A338" t="s">
        <v>359</v>
      </c>
      <c r="B338">
        <v>87.5</v>
      </c>
      <c r="C338">
        <v>113.6</v>
      </c>
      <c r="D338">
        <v>2.4853E-2</v>
      </c>
      <c r="E338">
        <v>28.7</v>
      </c>
      <c r="F338">
        <v>1</v>
      </c>
      <c r="G338">
        <v>0.13171017169952301</v>
      </c>
      <c r="H338">
        <v>550.91938254716194</v>
      </c>
      <c r="I338">
        <v>92.623928963410194</v>
      </c>
      <c r="K338">
        <v>0.13342465460300451</v>
      </c>
      <c r="L338" s="2">
        <f t="shared" si="17"/>
        <v>1.3017088060539748</v>
      </c>
      <c r="N338">
        <v>94.384567260742188</v>
      </c>
      <c r="O338">
        <v>546.55010986328125</v>
      </c>
      <c r="P338" s="2">
        <f t="shared" si="15"/>
        <v>1.9008460524574702</v>
      </c>
      <c r="Q338" s="2">
        <f t="shared" si="16"/>
        <v>-0.79308748653559302</v>
      </c>
    </row>
    <row r="339" spans="1:17" x14ac:dyDescent="0.45">
      <c r="A339" t="s">
        <v>360</v>
      </c>
      <c r="B339">
        <v>53.8</v>
      </c>
      <c r="C339">
        <v>103.4</v>
      </c>
      <c r="D339">
        <v>1.2614E-2</v>
      </c>
      <c r="E339">
        <v>27.48</v>
      </c>
      <c r="F339">
        <v>1</v>
      </c>
      <c r="G339">
        <v>9.9403604865074102E-2</v>
      </c>
      <c r="H339">
        <v>541.32112598009303</v>
      </c>
      <c r="I339">
        <v>48.837553600589303</v>
      </c>
      <c r="K339">
        <v>9.6489906311035156E-2</v>
      </c>
      <c r="L339" s="2">
        <f t="shared" si="17"/>
        <v>-2.9311799687686042</v>
      </c>
      <c r="N339">
        <v>47.787994384765618</v>
      </c>
      <c r="O339">
        <v>537.01934814453125</v>
      </c>
      <c r="P339" s="2">
        <f t="shared" si="15"/>
        <v>-2.1490822910732779</v>
      </c>
      <c r="Q339" s="2">
        <f t="shared" si="16"/>
        <v>-0.79468131375311901</v>
      </c>
    </row>
    <row r="340" spans="1:17" x14ac:dyDescent="0.45">
      <c r="A340" t="s">
        <v>361</v>
      </c>
      <c r="B340">
        <v>76.2</v>
      </c>
      <c r="C340">
        <v>112.4</v>
      </c>
      <c r="D340">
        <v>2.2126E-2</v>
      </c>
      <c r="E340">
        <v>30.87</v>
      </c>
      <c r="F340">
        <v>1</v>
      </c>
      <c r="G340">
        <v>0.119836680591106</v>
      </c>
      <c r="H340">
        <v>563.59165809508704</v>
      </c>
      <c r="I340">
        <v>77.246582776749193</v>
      </c>
      <c r="K340">
        <v>0.124863401055336</v>
      </c>
      <c r="L340" s="2">
        <f t="shared" si="17"/>
        <v>4.1946426081189969</v>
      </c>
      <c r="N340">
        <v>76.160842895507813</v>
      </c>
      <c r="O340">
        <v>565.2608642578125</v>
      </c>
      <c r="P340" s="2">
        <f t="shared" si="15"/>
        <v>-1.4055506952058756</v>
      </c>
      <c r="Q340" s="2">
        <f t="shared" si="16"/>
        <v>0.29617297182277258</v>
      </c>
    </row>
    <row r="341" spans="1:17" x14ac:dyDescent="0.45">
      <c r="A341" t="s">
        <v>362</v>
      </c>
      <c r="B341">
        <v>73.2</v>
      </c>
      <c r="C341">
        <v>111.2</v>
      </c>
      <c r="D341">
        <v>1.8898000000000002E-2</v>
      </c>
      <c r="E341">
        <v>26.98</v>
      </c>
      <c r="F341">
        <v>1</v>
      </c>
      <c r="G341">
        <v>0.10782360285520499</v>
      </c>
      <c r="H341">
        <v>539.92682359248602</v>
      </c>
      <c r="I341">
        <v>73.965109647674794</v>
      </c>
      <c r="K341">
        <v>0.10774741321802141</v>
      </c>
      <c r="L341" s="2">
        <f t="shared" si="17"/>
        <v>-7.0661372061460503E-2</v>
      </c>
      <c r="N341">
        <v>73.640151977539063</v>
      </c>
      <c r="O341">
        <v>537.232177734375</v>
      </c>
      <c r="P341" s="2">
        <f t="shared" si="15"/>
        <v>-0.43933913122502455</v>
      </c>
      <c r="Q341" s="2">
        <f t="shared" si="16"/>
        <v>-0.49907612297936538</v>
      </c>
    </row>
    <row r="342" spans="1:17" x14ac:dyDescent="0.45">
      <c r="A342" t="s">
        <v>363</v>
      </c>
      <c r="B342">
        <v>81.8</v>
      </c>
      <c r="C342">
        <v>112</v>
      </c>
      <c r="D342">
        <v>2.0922E-2</v>
      </c>
      <c r="E342">
        <v>25.56</v>
      </c>
      <c r="F342">
        <v>1</v>
      </c>
      <c r="G342">
        <v>0.11754905432462601</v>
      </c>
      <c r="H342">
        <v>531.62088012203401</v>
      </c>
      <c r="I342">
        <v>85.417394039218706</v>
      </c>
      <c r="K342">
        <v>0.11236137896776199</v>
      </c>
      <c r="L342" s="2">
        <f t="shared" si="17"/>
        <v>-4.4132004180464239</v>
      </c>
      <c r="N342">
        <v>86.850578308105469</v>
      </c>
      <c r="O342">
        <v>528.53607177734375</v>
      </c>
      <c r="P342" s="2">
        <f t="shared" si="15"/>
        <v>1.6778599780610581</v>
      </c>
      <c r="Q342" s="2">
        <f t="shared" si="16"/>
        <v>-0.58026470743251068</v>
      </c>
    </row>
    <row r="343" spans="1:17" x14ac:dyDescent="0.45">
      <c r="A343" t="s">
        <v>364</v>
      </c>
      <c r="B343">
        <v>43.3</v>
      </c>
      <c r="C343">
        <v>108.7</v>
      </c>
      <c r="D343">
        <v>7.9129999999999999E-3</v>
      </c>
      <c r="E343">
        <v>25.11</v>
      </c>
      <c r="F343">
        <v>1.01</v>
      </c>
      <c r="G343">
        <v>4.9469005316495798E-2</v>
      </c>
      <c r="H343">
        <v>529.73326156298401</v>
      </c>
      <c r="I343">
        <v>33.091577257910103</v>
      </c>
      <c r="K343">
        <v>5.3898811340332031E-2</v>
      </c>
      <c r="L343" s="2">
        <f t="shared" si="17"/>
        <v>8.9547101169610173</v>
      </c>
      <c r="N343">
        <v>32.777992248535163</v>
      </c>
      <c r="O343">
        <v>527.1749267578125</v>
      </c>
      <c r="P343" s="2">
        <f t="shared" si="15"/>
        <v>-0.94762787198359177</v>
      </c>
      <c r="Q343" s="2">
        <f t="shared" si="16"/>
        <v>-0.48294773819244724</v>
      </c>
    </row>
    <row r="344" spans="1:17" x14ac:dyDescent="0.45">
      <c r="A344" t="s">
        <v>365</v>
      </c>
      <c r="B344">
        <v>59.1</v>
      </c>
      <c r="C344">
        <v>130</v>
      </c>
      <c r="D344">
        <v>1.0617E-2</v>
      </c>
      <c r="E344">
        <v>23.26</v>
      </c>
      <c r="F344">
        <v>1.04</v>
      </c>
      <c r="G344">
        <v>4.7189220786094603E-2</v>
      </c>
      <c r="H344">
        <v>532.197287300482</v>
      </c>
      <c r="I344">
        <v>51.629803766172998</v>
      </c>
      <c r="K344">
        <v>5.184902623295784E-2</v>
      </c>
      <c r="L344" s="2">
        <f t="shared" si="17"/>
        <v>9.8747242892308069</v>
      </c>
      <c r="N344">
        <v>53.101940155029297</v>
      </c>
      <c r="O344">
        <v>522.52838134765625</v>
      </c>
      <c r="P344" s="2">
        <f t="shared" si="15"/>
        <v>2.851330590996394</v>
      </c>
      <c r="Q344" s="2">
        <f t="shared" si="16"/>
        <v>-1.8167897852073467</v>
      </c>
    </row>
    <row r="345" spans="1:17" x14ac:dyDescent="0.45">
      <c r="A345" t="s">
        <v>366</v>
      </c>
      <c r="B345">
        <v>68.599999999999994</v>
      </c>
      <c r="C345">
        <v>119.6</v>
      </c>
      <c r="D345">
        <v>1.2957E-2</v>
      </c>
      <c r="E345">
        <v>20</v>
      </c>
      <c r="F345">
        <v>1</v>
      </c>
      <c r="G345">
        <v>6.4655005931854206E-2</v>
      </c>
      <c r="H345">
        <v>500.83697606241202</v>
      </c>
      <c r="I345">
        <v>67.503076940145405</v>
      </c>
      <c r="K345">
        <v>6.6291384398937225E-2</v>
      </c>
      <c r="L345" s="2">
        <f t="shared" si="17"/>
        <v>2.5309385460543412</v>
      </c>
      <c r="N345">
        <v>67.152877807617188</v>
      </c>
      <c r="O345">
        <v>493.5269775390625</v>
      </c>
      <c r="P345" s="2">
        <f t="shared" si="15"/>
        <v>-0.51878988099866508</v>
      </c>
      <c r="Q345" s="2">
        <f t="shared" si="16"/>
        <v>-1.4595564770039227</v>
      </c>
    </row>
    <row r="346" spans="1:17" x14ac:dyDescent="0.45">
      <c r="A346" t="s">
        <v>367</v>
      </c>
      <c r="B346">
        <v>50.1</v>
      </c>
      <c r="C346">
        <v>111.8</v>
      </c>
      <c r="D346">
        <v>8.8030000000000001E-3</v>
      </c>
      <c r="E346">
        <v>21.17</v>
      </c>
      <c r="F346">
        <v>1</v>
      </c>
      <c r="G346">
        <v>5.1092207431793199E-2</v>
      </c>
      <c r="H346">
        <v>505.22643448158402</v>
      </c>
      <c r="I346">
        <v>42.575677549581002</v>
      </c>
      <c r="K346">
        <v>5.0949741154909127E-2</v>
      </c>
      <c r="L346" s="2">
        <f t="shared" si="17"/>
        <v>-0.27884149862630403</v>
      </c>
      <c r="N346">
        <v>38.505645751953118</v>
      </c>
      <c r="O346">
        <v>501.79495239257813</v>
      </c>
      <c r="P346" s="2">
        <f t="shared" si="15"/>
        <v>-9.5595232580577871</v>
      </c>
      <c r="Q346" s="2">
        <f t="shared" si="16"/>
        <v>-0.67919686200247253</v>
      </c>
    </row>
    <row r="347" spans="1:17" x14ac:dyDescent="0.45">
      <c r="A347" t="s">
        <v>368</v>
      </c>
      <c r="B347">
        <v>40.799999999999997</v>
      </c>
      <c r="C347">
        <v>115.2</v>
      </c>
      <c r="D347">
        <v>6.3670000000000003E-3</v>
      </c>
      <c r="E347">
        <v>23.04</v>
      </c>
      <c r="F347">
        <v>1</v>
      </c>
      <c r="G347">
        <v>3.3575557172298397E-2</v>
      </c>
      <c r="H347">
        <v>517.46023822087102</v>
      </c>
      <c r="I347">
        <v>29.019339475623902</v>
      </c>
      <c r="K347">
        <v>3.5207249224185937E-2</v>
      </c>
      <c r="L347" s="2">
        <f t="shared" si="17"/>
        <v>4.8597616519489124</v>
      </c>
      <c r="N347">
        <v>26.11872673034668</v>
      </c>
      <c r="O347">
        <v>513.32598876953125</v>
      </c>
      <c r="P347" s="2">
        <f t="shared" si="15"/>
        <v>-9.9954471662379554</v>
      </c>
      <c r="Q347" s="2">
        <f t="shared" si="16"/>
        <v>-0.79895016968919652</v>
      </c>
    </row>
    <row r="348" spans="1:17" x14ac:dyDescent="0.45">
      <c r="A348" t="s">
        <v>369</v>
      </c>
      <c r="B348">
        <v>64.5</v>
      </c>
      <c r="C348">
        <v>130</v>
      </c>
      <c r="D348">
        <v>1.2725E-2</v>
      </c>
      <c r="E348">
        <v>24.91</v>
      </c>
      <c r="F348">
        <v>1</v>
      </c>
      <c r="G348">
        <v>5.5964052677154499E-2</v>
      </c>
      <c r="H348">
        <v>535.88829180160201</v>
      </c>
      <c r="I348">
        <v>57.033192287569598</v>
      </c>
      <c r="K348">
        <v>6.3472405076026917E-2</v>
      </c>
      <c r="L348" s="2">
        <f t="shared" si="17"/>
        <v>13.416384339044582</v>
      </c>
      <c r="N348">
        <v>59.359405517578118</v>
      </c>
      <c r="O348">
        <v>526.6612548828125</v>
      </c>
      <c r="P348" s="2">
        <f t="shared" si="15"/>
        <v>4.0787007297073892</v>
      </c>
      <c r="Q348" s="2">
        <f t="shared" si="16"/>
        <v>-1.7218209578285706</v>
      </c>
    </row>
    <row r="349" spans="1:17" x14ac:dyDescent="0.45">
      <c r="A349" t="s">
        <v>370</v>
      </c>
      <c r="B349">
        <v>65.2</v>
      </c>
      <c r="C349">
        <v>105.8</v>
      </c>
      <c r="D349">
        <v>1.6728E-2</v>
      </c>
      <c r="E349">
        <v>27.5</v>
      </c>
      <c r="F349">
        <v>1</v>
      </c>
      <c r="G349">
        <v>0.116546340286731</v>
      </c>
      <c r="H349">
        <v>541.84718872675899</v>
      </c>
      <c r="I349">
        <v>63.967546690293297</v>
      </c>
      <c r="K349">
        <v>0.1144173815846443</v>
      </c>
      <c r="L349" s="2">
        <f t="shared" si="17"/>
        <v>-1.82670575227756</v>
      </c>
      <c r="N349">
        <v>63.655158996582031</v>
      </c>
      <c r="O349">
        <v>536.5010986328125</v>
      </c>
      <c r="P349" s="2">
        <f t="shared" si="15"/>
        <v>-0.48835340711709441</v>
      </c>
      <c r="Q349" s="2">
        <f t="shared" si="16"/>
        <v>-0.98664165934104275</v>
      </c>
    </row>
    <row r="350" spans="1:17" x14ac:dyDescent="0.45">
      <c r="A350" t="s">
        <v>371</v>
      </c>
      <c r="B350">
        <v>78.599999999999994</v>
      </c>
      <c r="C350">
        <v>112.3</v>
      </c>
      <c r="D350">
        <v>2.5638999999999999E-2</v>
      </c>
      <c r="E350">
        <v>35</v>
      </c>
      <c r="F350">
        <v>1</v>
      </c>
      <c r="G350">
        <v>0.13700675964355399</v>
      </c>
      <c r="H350">
        <v>588.34372650698299</v>
      </c>
      <c r="I350">
        <v>80.541156339929401</v>
      </c>
      <c r="K350">
        <v>0.1448170393705368</v>
      </c>
      <c r="L350" s="2">
        <f t="shared" si="17"/>
        <v>5.7006528344313523</v>
      </c>
      <c r="N350">
        <v>81.097267150878906</v>
      </c>
      <c r="O350">
        <v>586.83026123046875</v>
      </c>
      <c r="P350" s="2">
        <f t="shared" si="15"/>
        <v>0.69046787533370135</v>
      </c>
      <c r="Q350" s="2">
        <f t="shared" si="16"/>
        <v>-0.25724167834672679</v>
      </c>
    </row>
    <row r="351" spans="1:17" x14ac:dyDescent="0.45">
      <c r="A351" t="s">
        <v>372</v>
      </c>
      <c r="B351">
        <v>52.8</v>
      </c>
      <c r="C351">
        <v>107.6</v>
      </c>
      <c r="D351">
        <v>1.0369E-2</v>
      </c>
      <c r="E351">
        <v>22.8</v>
      </c>
      <c r="F351">
        <v>1</v>
      </c>
      <c r="G351">
        <v>6.8376459181308705E-2</v>
      </c>
      <c r="H351">
        <v>514.00151908115697</v>
      </c>
      <c r="I351">
        <v>46.826843009376603</v>
      </c>
      <c r="K351">
        <v>6.7603543400764465E-2</v>
      </c>
      <c r="L351" s="2">
        <f t="shared" si="17"/>
        <v>-1.130382868312553</v>
      </c>
      <c r="N351">
        <v>45.812686920166023</v>
      </c>
      <c r="O351">
        <v>512.265869140625</v>
      </c>
      <c r="P351" s="2">
        <f t="shared" si="15"/>
        <v>-2.1657579798994897</v>
      </c>
      <c r="Q351" s="2">
        <f t="shared" si="16"/>
        <v>-0.33767408774095953</v>
      </c>
    </row>
    <row r="352" spans="1:17" x14ac:dyDescent="0.45">
      <c r="A352" t="s">
        <v>373</v>
      </c>
      <c r="B352">
        <v>58.2</v>
      </c>
      <c r="C352">
        <v>121.5</v>
      </c>
      <c r="D352">
        <v>1.0517E-2</v>
      </c>
      <c r="E352">
        <v>21.28</v>
      </c>
      <c r="F352">
        <v>1</v>
      </c>
      <c r="G352">
        <v>5.0607398152351303E-2</v>
      </c>
      <c r="H352">
        <v>509.33542646374599</v>
      </c>
      <c r="I352">
        <v>52.343100625519597</v>
      </c>
      <c r="K352">
        <v>5.5594131350517273E-2</v>
      </c>
      <c r="L352" s="2">
        <f t="shared" si="17"/>
        <v>9.8537632445628471</v>
      </c>
      <c r="N352">
        <v>52.453598022460938</v>
      </c>
      <c r="O352">
        <v>504.72503662109381</v>
      </c>
      <c r="P352" s="2">
        <f t="shared" si="15"/>
        <v>0.2111021235288999</v>
      </c>
      <c r="Q352" s="2">
        <f t="shared" si="16"/>
        <v>-0.9051775319579789</v>
      </c>
    </row>
    <row r="353" spans="1:17" x14ac:dyDescent="0.45">
      <c r="A353" t="s">
        <v>374</v>
      </c>
      <c r="B353">
        <v>56</v>
      </c>
      <c r="C353">
        <v>105</v>
      </c>
      <c r="D353">
        <v>1.6337000000000001E-2</v>
      </c>
      <c r="E353">
        <v>35</v>
      </c>
      <c r="F353">
        <v>1</v>
      </c>
      <c r="G353">
        <v>0.115579470992088</v>
      </c>
      <c r="H353">
        <v>586.70357188040396</v>
      </c>
      <c r="I353">
        <v>50.451448502689999</v>
      </c>
      <c r="K353">
        <v>0.1184403523802757</v>
      </c>
      <c r="L353" s="2">
        <f t="shared" si="17"/>
        <v>2.4752504606839234</v>
      </c>
      <c r="N353">
        <v>49.343265533447273</v>
      </c>
      <c r="O353">
        <v>592.75604248046875</v>
      </c>
      <c r="P353" s="2">
        <f t="shared" si="15"/>
        <v>-2.1965335032623283</v>
      </c>
      <c r="Q353" s="2">
        <f t="shared" si="16"/>
        <v>1.0316062301557889</v>
      </c>
    </row>
    <row r="354" spans="1:17" x14ac:dyDescent="0.45">
      <c r="A354" t="s">
        <v>375</v>
      </c>
      <c r="B354">
        <v>79.5</v>
      </c>
      <c r="C354">
        <v>111.2</v>
      </c>
      <c r="D354">
        <v>2.0986999999999999E-2</v>
      </c>
      <c r="E354">
        <v>26.75</v>
      </c>
      <c r="F354">
        <v>1</v>
      </c>
      <c r="G354">
        <v>0.119900435209274</v>
      </c>
      <c r="H354">
        <v>538.54682359248704</v>
      </c>
      <c r="I354">
        <v>83.101162178786396</v>
      </c>
      <c r="K354">
        <v>0.11867388337850571</v>
      </c>
      <c r="L354" s="2">
        <f t="shared" si="17"/>
        <v>-1.0229752949832689</v>
      </c>
      <c r="N354">
        <v>82.537437438964844</v>
      </c>
      <c r="O354">
        <v>534.39630126953125</v>
      </c>
      <c r="P354" s="2">
        <f t="shared" si="15"/>
        <v>-0.67835963425967183</v>
      </c>
      <c r="Q354" s="2">
        <f t="shared" si="16"/>
        <v>-0.77068922164815379</v>
      </c>
    </row>
    <row r="355" spans="1:17" x14ac:dyDescent="0.45">
      <c r="A355" t="s">
        <v>376</v>
      </c>
      <c r="B355">
        <v>88.6</v>
      </c>
      <c r="C355">
        <v>113.1</v>
      </c>
      <c r="D355">
        <v>2.9867999999999999E-2</v>
      </c>
      <c r="E355">
        <v>35</v>
      </c>
      <c r="F355">
        <v>1</v>
      </c>
      <c r="G355">
        <v>0.15614709258079501</v>
      </c>
      <c r="H355">
        <v>588.57165791054501</v>
      </c>
      <c r="I355">
        <v>93.221330719394103</v>
      </c>
      <c r="K355">
        <v>0.17388911545276639</v>
      </c>
      <c r="L355" s="2">
        <f t="shared" si="17"/>
        <v>11.362377985226427</v>
      </c>
      <c r="N355">
        <v>94.021797180175781</v>
      </c>
      <c r="O355">
        <v>591.7607421875</v>
      </c>
      <c r="P355" s="2">
        <f t="shared" si="15"/>
        <v>0.85867306828215639</v>
      </c>
      <c r="Q355" s="2">
        <f t="shared" si="16"/>
        <v>0.54183449612174228</v>
      </c>
    </row>
    <row r="356" spans="1:17" x14ac:dyDescent="0.45">
      <c r="A356" t="s">
        <v>377</v>
      </c>
      <c r="B356">
        <v>46.4</v>
      </c>
      <c r="C356">
        <v>106.1</v>
      </c>
      <c r="D356">
        <v>1.0145E-2</v>
      </c>
      <c r="E356">
        <v>28.84</v>
      </c>
      <c r="F356">
        <v>1</v>
      </c>
      <c r="G356">
        <v>6.9378040730953203E-2</v>
      </c>
      <c r="H356">
        <v>549.94321835852497</v>
      </c>
      <c r="I356">
        <v>37.1958627395165</v>
      </c>
      <c r="K356">
        <v>7.6275631785392761E-2</v>
      </c>
      <c r="L356" s="2">
        <f t="shared" si="17"/>
        <v>9.9420378289267255</v>
      </c>
      <c r="N356">
        <v>36.708099365234382</v>
      </c>
      <c r="O356">
        <v>544.62774658203125</v>
      </c>
      <c r="P356" s="2">
        <f t="shared" si="15"/>
        <v>-1.3113377089756886</v>
      </c>
      <c r="Q356" s="2">
        <f t="shared" si="16"/>
        <v>-0.9665491998172806</v>
      </c>
    </row>
    <row r="357" spans="1:17" x14ac:dyDescent="0.45">
      <c r="A357" t="s">
        <v>378</v>
      </c>
      <c r="B357">
        <v>72.8</v>
      </c>
      <c r="C357">
        <v>105.4</v>
      </c>
      <c r="D357">
        <v>2.163E-2</v>
      </c>
      <c r="E357">
        <v>31.04</v>
      </c>
      <c r="F357">
        <v>1</v>
      </c>
      <c r="G357">
        <v>0.151683360338211</v>
      </c>
      <c r="H357">
        <v>563.01433222676496</v>
      </c>
      <c r="I357">
        <v>74.264316969990205</v>
      </c>
      <c r="K357">
        <v>0.16103747487068179</v>
      </c>
      <c r="L357" s="2">
        <f t="shared" si="17"/>
        <v>6.1668692674092629</v>
      </c>
      <c r="N357">
        <v>77.426521301269531</v>
      </c>
      <c r="O357">
        <v>560.89752197265625</v>
      </c>
      <c r="P357" s="2">
        <f t="shared" si="15"/>
        <v>4.2580400120789585</v>
      </c>
      <c r="Q357" s="2">
        <f t="shared" si="16"/>
        <v>-0.37597804051214229</v>
      </c>
    </row>
    <row r="358" spans="1:17" x14ac:dyDescent="0.45">
      <c r="A358" t="s">
        <v>379</v>
      </c>
      <c r="B358">
        <v>60.8</v>
      </c>
      <c r="C358">
        <v>106.9</v>
      </c>
      <c r="D358">
        <v>1.4404999999999999E-2</v>
      </c>
      <c r="E358">
        <v>26.1</v>
      </c>
      <c r="F358">
        <v>1</v>
      </c>
      <c r="G358">
        <v>9.6184954047202995E-2</v>
      </c>
      <c r="H358">
        <v>533.65851327089194</v>
      </c>
      <c r="I358">
        <v>57.430118376097198</v>
      </c>
      <c r="K358">
        <v>9.4260424375534058E-2</v>
      </c>
      <c r="L358" s="2">
        <f t="shared" si="17"/>
        <v>-2.0008635349812294</v>
      </c>
      <c r="N358">
        <v>56.998615264892578</v>
      </c>
      <c r="O358">
        <v>531.9359130859375</v>
      </c>
      <c r="P358" s="2">
        <f t="shared" si="15"/>
        <v>-0.75135333759683565</v>
      </c>
      <c r="Q358" s="2">
        <f t="shared" si="16"/>
        <v>-0.32279072517672563</v>
      </c>
    </row>
    <row r="359" spans="1:17" x14ac:dyDescent="0.45">
      <c r="A359" t="s">
        <v>380</v>
      </c>
      <c r="B359">
        <v>65.099999999999994</v>
      </c>
      <c r="C359">
        <v>115</v>
      </c>
      <c r="D359">
        <v>1.2836E-2</v>
      </c>
      <c r="E359">
        <v>20.92</v>
      </c>
      <c r="F359">
        <v>1</v>
      </c>
      <c r="G359">
        <v>6.9001309573650305E-2</v>
      </c>
      <c r="H359">
        <v>504.67523446829</v>
      </c>
      <c r="I359">
        <v>63.246453617712703</v>
      </c>
      <c r="K359">
        <v>7.0840045809745789E-2</v>
      </c>
      <c r="L359" s="2">
        <f t="shared" si="17"/>
        <v>2.6647845489553528</v>
      </c>
      <c r="N359">
        <v>65.014938354492188</v>
      </c>
      <c r="O359">
        <v>502.46612548828119</v>
      </c>
      <c r="P359" s="2">
        <f t="shared" si="15"/>
        <v>2.7961800790743552</v>
      </c>
      <c r="Q359" s="2">
        <f t="shared" si="16"/>
        <v>-0.43772882620964254</v>
      </c>
    </row>
    <row r="360" spans="1:17" x14ac:dyDescent="0.45">
      <c r="A360" t="s">
        <v>381</v>
      </c>
      <c r="B360">
        <v>66</v>
      </c>
      <c r="C360">
        <v>104</v>
      </c>
      <c r="D360">
        <v>1.8813E-2</v>
      </c>
      <c r="E360">
        <v>30.79</v>
      </c>
      <c r="F360">
        <v>1</v>
      </c>
      <c r="G360">
        <v>0.14200703799724501</v>
      </c>
      <c r="H360">
        <v>561.27572004223703</v>
      </c>
      <c r="I360">
        <v>65.641470542374293</v>
      </c>
      <c r="K360">
        <v>0.1416831761598587</v>
      </c>
      <c r="L360" s="2">
        <f t="shared" si="17"/>
        <v>-0.22806041302867738</v>
      </c>
      <c r="N360">
        <v>66.089523315429688</v>
      </c>
      <c r="O360">
        <v>562.10211181640625</v>
      </c>
      <c r="P360" s="2">
        <f t="shared" si="15"/>
        <v>0.6825757700936298</v>
      </c>
      <c r="Q360" s="2">
        <f t="shared" si="16"/>
        <v>0.14723454884295306</v>
      </c>
    </row>
    <row r="361" spans="1:17" x14ac:dyDescent="0.45">
      <c r="A361" t="s">
        <v>382</v>
      </c>
      <c r="B361">
        <v>84.4</v>
      </c>
      <c r="C361">
        <v>114.6</v>
      </c>
      <c r="D361">
        <v>2.2630000000000001E-2</v>
      </c>
      <c r="E361">
        <v>27.31</v>
      </c>
      <c r="F361">
        <v>1</v>
      </c>
      <c r="G361">
        <v>0.117948785424232</v>
      </c>
      <c r="H361">
        <v>542.88730548560295</v>
      </c>
      <c r="I361">
        <v>88.875544156173305</v>
      </c>
      <c r="K361">
        <v>0.11353079974651339</v>
      </c>
      <c r="L361" s="2">
        <f t="shared" si="17"/>
        <v>-3.7456813665594129</v>
      </c>
      <c r="N361">
        <v>89.88629150390625</v>
      </c>
      <c r="O361">
        <v>541.23333740234375</v>
      </c>
      <c r="P361" s="2">
        <f t="shared" si="15"/>
        <v>1.1372615012706377</v>
      </c>
      <c r="Q361" s="2">
        <f t="shared" si="16"/>
        <v>-0.30466140330537961</v>
      </c>
    </row>
    <row r="362" spans="1:17" x14ac:dyDescent="0.45">
      <c r="A362" t="s">
        <v>383</v>
      </c>
      <c r="B362">
        <v>80.8</v>
      </c>
      <c r="C362">
        <v>100</v>
      </c>
      <c r="D362">
        <v>2.5541999999999999E-2</v>
      </c>
      <c r="E362">
        <v>31.33</v>
      </c>
      <c r="F362">
        <v>1</v>
      </c>
      <c r="G362">
        <v>0.25145772099494901</v>
      </c>
      <c r="H362">
        <v>563.968987413528</v>
      </c>
      <c r="I362">
        <v>88.279065655495501</v>
      </c>
      <c r="K362">
        <v>0.2251565158367157</v>
      </c>
      <c r="L362" s="2">
        <f t="shared" si="17"/>
        <v>-10.459493967481562</v>
      </c>
      <c r="N362">
        <v>92.1661376953125</v>
      </c>
      <c r="O362">
        <v>567.39459228515625</v>
      </c>
      <c r="P362" s="2">
        <f t="shared" si="15"/>
        <v>4.4031640015154867</v>
      </c>
      <c r="Q362" s="2">
        <f t="shared" si="16"/>
        <v>0.60741014986280462</v>
      </c>
    </row>
    <row r="363" spans="1:17" x14ac:dyDescent="0.45">
      <c r="A363" t="s">
        <v>384</v>
      </c>
      <c r="B363">
        <v>78.400000000000006</v>
      </c>
      <c r="C363">
        <v>117.2</v>
      </c>
      <c r="D363">
        <v>1.9896E-2</v>
      </c>
      <c r="E363">
        <v>26.85</v>
      </c>
      <c r="F363">
        <v>1.1299999999999999</v>
      </c>
      <c r="G363">
        <v>9.8526664078235598E-2</v>
      </c>
      <c r="H363">
        <v>563.70656929669599</v>
      </c>
      <c r="I363">
        <v>81.972888129704003</v>
      </c>
      <c r="K363">
        <v>9.7322478890419006E-2</v>
      </c>
      <c r="L363" s="2">
        <f t="shared" si="17"/>
        <v>-1.2221921843008943</v>
      </c>
      <c r="N363">
        <v>83.312324523925781</v>
      </c>
      <c r="O363">
        <v>561.91998291015625</v>
      </c>
      <c r="P363" s="2">
        <f t="shared" si="15"/>
        <v>1.633999270713038</v>
      </c>
      <c r="Q363" s="2">
        <f t="shared" si="16"/>
        <v>-0.31693552707195854</v>
      </c>
    </row>
    <row r="364" spans="1:17" x14ac:dyDescent="0.45">
      <c r="A364" t="s">
        <v>385</v>
      </c>
      <c r="B364">
        <v>71</v>
      </c>
      <c r="C364">
        <v>128.9</v>
      </c>
      <c r="D364">
        <v>1.2534E-2</v>
      </c>
      <c r="E364">
        <v>20</v>
      </c>
      <c r="F364">
        <v>1</v>
      </c>
      <c r="G364">
        <v>5.7313930243253701E-2</v>
      </c>
      <c r="H364">
        <v>505.691665923686</v>
      </c>
      <c r="I364">
        <v>68.860067815134499</v>
      </c>
      <c r="K364">
        <v>6.3131995499134064E-2</v>
      </c>
      <c r="L364" s="2">
        <f t="shared" si="17"/>
        <v>10.151223674920102</v>
      </c>
      <c r="N364">
        <v>68.870124816894531</v>
      </c>
      <c r="O364">
        <v>491.57632446289063</v>
      </c>
      <c r="P364" s="2">
        <f t="shared" si="15"/>
        <v>1.4604983815919929E-2</v>
      </c>
      <c r="Q364" s="2">
        <f t="shared" si="16"/>
        <v>-2.7912940655275751</v>
      </c>
    </row>
    <row r="365" spans="1:17" x14ac:dyDescent="0.45">
      <c r="A365" t="s">
        <v>386</v>
      </c>
      <c r="B365">
        <v>46.8</v>
      </c>
      <c r="C365">
        <v>118.1</v>
      </c>
      <c r="D365">
        <v>7.221E-3</v>
      </c>
      <c r="E365">
        <v>20</v>
      </c>
      <c r="F365">
        <v>1</v>
      </c>
      <c r="G365">
        <v>3.6891773343086201E-2</v>
      </c>
      <c r="H365">
        <v>500.24408578010599</v>
      </c>
      <c r="I365">
        <v>37.477348051723098</v>
      </c>
      <c r="K365">
        <v>3.7158139050006873E-2</v>
      </c>
      <c r="L365" s="2">
        <f t="shared" si="17"/>
        <v>0.72201925465475436</v>
      </c>
      <c r="N365">
        <v>35.930629730224609</v>
      </c>
      <c r="O365">
        <v>498.66757202148438</v>
      </c>
      <c r="P365" s="2">
        <f t="shared" si="15"/>
        <v>-4.1270751584766279</v>
      </c>
      <c r="Q365" s="2">
        <f t="shared" si="16"/>
        <v>-0.31514890499167419</v>
      </c>
    </row>
    <row r="366" spans="1:17" x14ac:dyDescent="0.45">
      <c r="A366" t="s">
        <v>387</v>
      </c>
      <c r="B366">
        <v>56.8</v>
      </c>
      <c r="C366">
        <v>114.7</v>
      </c>
      <c r="D366">
        <v>1.1936E-2</v>
      </c>
      <c r="E366">
        <v>24.71</v>
      </c>
      <c r="F366">
        <v>1</v>
      </c>
      <c r="G366">
        <v>6.2967501580715096E-2</v>
      </c>
      <c r="H366">
        <v>527.31902945413901</v>
      </c>
      <c r="I366">
        <v>51.162183761772397</v>
      </c>
      <c r="K366">
        <v>6.7717202007770538E-2</v>
      </c>
      <c r="L366" s="2">
        <f t="shared" si="17"/>
        <v>7.5430981185858599</v>
      </c>
      <c r="N366">
        <v>50.753448486328118</v>
      </c>
      <c r="O366">
        <v>524.96075439453125</v>
      </c>
      <c r="P366" s="2">
        <f t="shared" si="15"/>
        <v>-0.7989011519670115</v>
      </c>
      <c r="Q366" s="2">
        <f t="shared" si="16"/>
        <v>-0.44721979065480749</v>
      </c>
    </row>
    <row r="367" spans="1:17" x14ac:dyDescent="0.45">
      <c r="A367" t="s">
        <v>388</v>
      </c>
      <c r="B367">
        <v>46.6</v>
      </c>
      <c r="C367">
        <v>110.1</v>
      </c>
      <c r="D367">
        <v>7.5160000000000001E-3</v>
      </c>
      <c r="E367">
        <v>20</v>
      </c>
      <c r="F367">
        <v>1</v>
      </c>
      <c r="G367">
        <v>4.6203013509511899E-2</v>
      </c>
      <c r="H367">
        <v>497.76843967725802</v>
      </c>
      <c r="I367">
        <v>38.150508872213898</v>
      </c>
      <c r="K367">
        <v>4.837542399764061E-2</v>
      </c>
      <c r="L367" s="2">
        <f t="shared" si="17"/>
        <v>4.7018805119312672</v>
      </c>
      <c r="N367">
        <v>35.012798309326172</v>
      </c>
      <c r="O367">
        <v>494.581787109375</v>
      </c>
      <c r="P367" s="2">
        <f t="shared" si="15"/>
        <v>-8.2245575633016266</v>
      </c>
      <c r="Q367" s="2">
        <f t="shared" si="16"/>
        <v>-0.64018774873496809</v>
      </c>
    </row>
    <row r="368" spans="1:17" x14ac:dyDescent="0.45">
      <c r="A368" t="s">
        <v>389</v>
      </c>
      <c r="B368">
        <v>85.4</v>
      </c>
      <c r="C368">
        <v>100.6</v>
      </c>
      <c r="D368">
        <v>2.3956999999999999E-2</v>
      </c>
      <c r="E368">
        <v>26.58</v>
      </c>
      <c r="F368">
        <v>1</v>
      </c>
      <c r="G368">
        <v>0.226538121700286</v>
      </c>
      <c r="H368">
        <v>535.53862209868805</v>
      </c>
      <c r="I368">
        <v>95.4516666948753</v>
      </c>
      <c r="K368">
        <v>0.20254968106746671</v>
      </c>
      <c r="L368" s="2">
        <f t="shared" si="17"/>
        <v>-10.589140782475646</v>
      </c>
      <c r="N368">
        <v>96.060661315917969</v>
      </c>
      <c r="O368">
        <v>536.67919921875</v>
      </c>
      <c r="P368" s="2">
        <f t="shared" si="15"/>
        <v>0.63801360639349125</v>
      </c>
      <c r="Q368" s="2">
        <f t="shared" si="16"/>
        <v>0.21297756557542266</v>
      </c>
    </row>
    <row r="369" spans="1:17" x14ac:dyDescent="0.45">
      <c r="A369" t="s">
        <v>390</v>
      </c>
      <c r="B369">
        <v>58.6</v>
      </c>
      <c r="C369">
        <v>118</v>
      </c>
      <c r="D369">
        <v>1.2532E-2</v>
      </c>
      <c r="E369">
        <v>25.46</v>
      </c>
      <c r="F369">
        <v>1</v>
      </c>
      <c r="G369">
        <v>6.1680898070335298E-2</v>
      </c>
      <c r="H369">
        <v>532.96615121044704</v>
      </c>
      <c r="I369">
        <v>52.350051234238798</v>
      </c>
      <c r="K369">
        <v>7.0453755557537079E-2</v>
      </c>
      <c r="L369" s="2">
        <f t="shared" si="17"/>
        <v>14.222973013781367</v>
      </c>
      <c r="N369">
        <v>54.573459625244141</v>
      </c>
      <c r="O369">
        <v>528.59320068359375</v>
      </c>
      <c r="P369" s="2">
        <f t="shared" si="15"/>
        <v>4.247194297970724</v>
      </c>
      <c r="Q369" s="2">
        <f t="shared" si="16"/>
        <v>-0.82049310578573387</v>
      </c>
    </row>
    <row r="370" spans="1:17" x14ac:dyDescent="0.45">
      <c r="A370" t="s">
        <v>391</v>
      </c>
      <c r="B370">
        <v>68.900000000000006</v>
      </c>
      <c r="C370">
        <v>115.9</v>
      </c>
      <c r="D370">
        <v>1.6132000000000001E-2</v>
      </c>
      <c r="E370">
        <v>25.49</v>
      </c>
      <c r="F370">
        <v>1</v>
      </c>
      <c r="G370">
        <v>8.2539074122905703E-2</v>
      </c>
      <c r="H370">
        <v>532.39329331630302</v>
      </c>
      <c r="I370">
        <v>67.426216698974997</v>
      </c>
      <c r="K370">
        <v>8.5422910749912262E-2</v>
      </c>
      <c r="L370" s="2">
        <f t="shared" si="17"/>
        <v>3.4939047446938285</v>
      </c>
      <c r="N370">
        <v>67.4022216796875</v>
      </c>
      <c r="O370">
        <v>532.53753662109375</v>
      </c>
      <c r="P370" s="2">
        <f t="shared" si="15"/>
        <v>-3.5587076455176392E-2</v>
      </c>
      <c r="Q370" s="2">
        <f t="shared" si="16"/>
        <v>2.7093373752369407E-2</v>
      </c>
    </row>
    <row r="371" spans="1:17" x14ac:dyDescent="0.45">
      <c r="A371" t="s">
        <v>392</v>
      </c>
      <c r="B371">
        <v>44.2</v>
      </c>
      <c r="C371">
        <v>106.7</v>
      </c>
      <c r="D371">
        <v>9.0519999999999993E-3</v>
      </c>
      <c r="E371">
        <v>28</v>
      </c>
      <c r="F371">
        <v>1</v>
      </c>
      <c r="G371">
        <v>6.0490574687719303E-2</v>
      </c>
      <c r="H371">
        <v>545.01888155265499</v>
      </c>
      <c r="I371">
        <v>34.293211817813003</v>
      </c>
      <c r="K371">
        <v>6.8507865071296692E-2</v>
      </c>
      <c r="L371" s="2">
        <f t="shared" si="17"/>
        <v>13.253784453142325</v>
      </c>
      <c r="N371">
        <v>34.459014892578118</v>
      </c>
      <c r="O371">
        <v>538.0926513671875</v>
      </c>
      <c r="P371" s="2">
        <f t="shared" si="15"/>
        <v>0.48348657351188051</v>
      </c>
      <c r="Q371" s="2">
        <f t="shared" si="16"/>
        <v>-1.27082389618062</v>
      </c>
    </row>
    <row r="372" spans="1:17" x14ac:dyDescent="0.45">
      <c r="A372" t="s">
        <v>393</v>
      </c>
      <c r="B372">
        <v>42.8</v>
      </c>
      <c r="C372">
        <v>101.5</v>
      </c>
      <c r="D372">
        <v>8.4110000000000001E-3</v>
      </c>
      <c r="E372">
        <v>26.9</v>
      </c>
      <c r="F372">
        <v>1</v>
      </c>
      <c r="G372">
        <v>7.4658855795860193E-2</v>
      </c>
      <c r="H372">
        <v>537.57114588077798</v>
      </c>
      <c r="I372">
        <v>33.217601003559601</v>
      </c>
      <c r="K372">
        <v>8.1161677837371826E-2</v>
      </c>
      <c r="L372" s="2">
        <f t="shared" si="17"/>
        <v>8.7100478197687714</v>
      </c>
      <c r="N372">
        <v>33.031044006347663</v>
      </c>
      <c r="O372">
        <v>526.73553466796875</v>
      </c>
      <c r="P372" s="2">
        <f t="shared" si="15"/>
        <v>-0.56162092257037455</v>
      </c>
      <c r="Q372" s="2">
        <f t="shared" si="16"/>
        <v>-2.0156608656991306</v>
      </c>
    </row>
    <row r="373" spans="1:17" x14ac:dyDescent="0.45">
      <c r="A373" t="s">
        <v>394</v>
      </c>
      <c r="B373">
        <v>68.5</v>
      </c>
      <c r="C373">
        <v>130</v>
      </c>
      <c r="D373">
        <v>1.5864E-2</v>
      </c>
      <c r="E373">
        <v>29.62</v>
      </c>
      <c r="F373">
        <v>1.1499999999999999</v>
      </c>
      <c r="G373">
        <v>6.8098157644271795E-2</v>
      </c>
      <c r="H373">
        <v>593.15602492240203</v>
      </c>
      <c r="I373">
        <v>62.1046845434551</v>
      </c>
      <c r="K373">
        <v>8.2346349954605103E-2</v>
      </c>
      <c r="L373" s="2">
        <f t="shared" si="17"/>
        <v>20.923021713395531</v>
      </c>
      <c r="N373">
        <v>64.877059936523438</v>
      </c>
      <c r="O373">
        <v>576.7161865234375</v>
      </c>
      <c r="P373" s="2">
        <f t="shared" si="15"/>
        <v>4.4640358669376798</v>
      </c>
      <c r="Q373" s="2">
        <f t="shared" si="16"/>
        <v>-2.7715875264210998</v>
      </c>
    </row>
    <row r="374" spans="1:17" x14ac:dyDescent="0.45">
      <c r="A374" t="s">
        <v>395</v>
      </c>
      <c r="B374">
        <v>40.1</v>
      </c>
      <c r="C374">
        <v>108.5</v>
      </c>
      <c r="D374">
        <v>6.7289999999999997E-3</v>
      </c>
      <c r="E374">
        <v>24.64</v>
      </c>
      <c r="F374">
        <v>1</v>
      </c>
      <c r="G374">
        <v>4.2492132633924401E-2</v>
      </c>
      <c r="H374">
        <v>525.23535247708003</v>
      </c>
      <c r="I374">
        <v>28.556945403684399</v>
      </c>
      <c r="K374">
        <v>4.8228781670331948E-2</v>
      </c>
      <c r="L374" s="2">
        <f t="shared" si="17"/>
        <v>13.500496870396155</v>
      </c>
      <c r="N374">
        <v>28.653879165649411</v>
      </c>
      <c r="O374">
        <v>522.90576171875</v>
      </c>
      <c r="P374" s="2">
        <f t="shared" si="15"/>
        <v>0.33944023282162938</v>
      </c>
      <c r="Q374" s="2">
        <f t="shared" si="16"/>
        <v>-0.44353274153069983</v>
      </c>
    </row>
    <row r="375" spans="1:17" x14ac:dyDescent="0.45">
      <c r="A375" t="s">
        <v>396</v>
      </c>
      <c r="B375">
        <v>58.8</v>
      </c>
      <c r="C375">
        <v>113.6</v>
      </c>
      <c r="D375">
        <v>1.6836E-2</v>
      </c>
      <c r="E375">
        <v>35</v>
      </c>
      <c r="F375">
        <v>1</v>
      </c>
      <c r="G375">
        <v>8.6907461285591098E-2</v>
      </c>
      <c r="H375">
        <v>588.71938254716201</v>
      </c>
      <c r="I375">
        <v>52.686680452684499</v>
      </c>
      <c r="K375">
        <v>9.3692414462566376E-2</v>
      </c>
      <c r="L375" s="2">
        <f t="shared" si="17"/>
        <v>7.8071008824879762</v>
      </c>
      <c r="N375">
        <v>53.421661376953118</v>
      </c>
      <c r="O375">
        <v>587.2845458984375</v>
      </c>
      <c r="P375" s="2">
        <f t="shared" si="15"/>
        <v>1.3950032872704363</v>
      </c>
      <c r="Q375" s="2">
        <f t="shared" si="16"/>
        <v>-0.2437216594630412</v>
      </c>
    </row>
    <row r="376" spans="1:17" x14ac:dyDescent="0.45">
      <c r="A376" t="s">
        <v>397</v>
      </c>
      <c r="B376">
        <v>82.1</v>
      </c>
      <c r="C376">
        <v>123.6</v>
      </c>
      <c r="D376">
        <v>1.8928E-2</v>
      </c>
      <c r="E376">
        <v>24.9</v>
      </c>
      <c r="F376">
        <v>1</v>
      </c>
      <c r="G376">
        <v>8.6796939373016302E-2</v>
      </c>
      <c r="H376">
        <v>532.05500283663901</v>
      </c>
      <c r="I376">
        <v>83.546886056213197</v>
      </c>
      <c r="K376">
        <v>9.4345331192016602E-2</v>
      </c>
      <c r="L376" s="2">
        <f t="shared" si="17"/>
        <v>8.6966105873394035</v>
      </c>
      <c r="N376">
        <v>82.990333557128906</v>
      </c>
      <c r="O376">
        <v>523.76971435546875</v>
      </c>
      <c r="P376" s="2">
        <f t="shared" si="15"/>
        <v>-0.66615588606117859</v>
      </c>
      <c r="Q376" s="2">
        <f t="shared" si="16"/>
        <v>-1.5572240533398671</v>
      </c>
    </row>
    <row r="377" spans="1:17" x14ac:dyDescent="0.45">
      <c r="A377" t="s">
        <v>398</v>
      </c>
      <c r="B377">
        <v>77.5</v>
      </c>
      <c r="C377">
        <v>122.6</v>
      </c>
      <c r="D377">
        <v>1.8017999999999999E-2</v>
      </c>
      <c r="E377">
        <v>25.5</v>
      </c>
      <c r="F377">
        <v>1</v>
      </c>
      <c r="G377">
        <v>8.3146266639232594E-2</v>
      </c>
      <c r="H377">
        <v>535.16601418019104</v>
      </c>
      <c r="I377">
        <v>77.241626291238106</v>
      </c>
      <c r="K377">
        <v>8.94332155585289E-2</v>
      </c>
      <c r="L377" s="2">
        <f t="shared" si="17"/>
        <v>7.5613123395847177</v>
      </c>
      <c r="N377">
        <v>76.817306518554688</v>
      </c>
      <c r="O377">
        <v>528.9775390625</v>
      </c>
      <c r="P377" s="2">
        <f t="shared" si="15"/>
        <v>-0.54934080632058224</v>
      </c>
      <c r="Q377" s="2">
        <f t="shared" si="16"/>
        <v>-1.1563654928968219</v>
      </c>
    </row>
    <row r="378" spans="1:17" x14ac:dyDescent="0.45">
      <c r="A378" t="s">
        <v>399</v>
      </c>
      <c r="B378">
        <v>62.4</v>
      </c>
      <c r="C378">
        <v>105.4</v>
      </c>
      <c r="D378">
        <v>1.4456999999999999E-2</v>
      </c>
      <c r="E378">
        <v>24.8</v>
      </c>
      <c r="F378">
        <v>1</v>
      </c>
      <c r="G378">
        <v>0.103722088038921</v>
      </c>
      <c r="H378">
        <v>525.57433222676502</v>
      </c>
      <c r="I378">
        <v>60.6870048634512</v>
      </c>
      <c r="K378">
        <v>0.10124526917934421</v>
      </c>
      <c r="L378" s="2">
        <f t="shared" si="17"/>
        <v>-2.3879377154915944</v>
      </c>
      <c r="N378">
        <v>60.546287536621087</v>
      </c>
      <c r="O378">
        <v>520.984619140625</v>
      </c>
      <c r="P378" s="2">
        <f t="shared" si="15"/>
        <v>-0.23187390306497191</v>
      </c>
      <c r="Q378" s="2">
        <f t="shared" si="16"/>
        <v>-0.87327572994180003</v>
      </c>
    </row>
    <row r="379" spans="1:17" x14ac:dyDescent="0.45">
      <c r="A379" t="s">
        <v>400</v>
      </c>
      <c r="B379">
        <v>66.599999999999994</v>
      </c>
      <c r="C379">
        <v>128.69999999999999</v>
      </c>
      <c r="D379">
        <v>1.4305999999999999E-2</v>
      </c>
      <c r="E379">
        <v>26.82</v>
      </c>
      <c r="F379">
        <v>1</v>
      </c>
      <c r="G379">
        <v>6.2555439770221696E-2</v>
      </c>
      <c r="H379">
        <v>546.48202169518402</v>
      </c>
      <c r="I379">
        <v>59.977871177047803</v>
      </c>
      <c r="K379">
        <v>7.3839463293552399E-2</v>
      </c>
      <c r="L379" s="2">
        <f t="shared" si="17"/>
        <v>18.038436888588933</v>
      </c>
      <c r="N379">
        <v>62.52374267578125</v>
      </c>
      <c r="O379">
        <v>537.9208984375</v>
      </c>
      <c r="P379" s="2">
        <f t="shared" si="15"/>
        <v>4.2446846624788108</v>
      </c>
      <c r="Q379" s="2">
        <f t="shared" si="16"/>
        <v>-1.5665882714910662</v>
      </c>
    </row>
    <row r="380" spans="1:17" x14ac:dyDescent="0.45">
      <c r="A380" t="s">
        <v>401</v>
      </c>
      <c r="B380">
        <v>85.6</v>
      </c>
      <c r="C380">
        <v>130</v>
      </c>
      <c r="D380">
        <v>1.8120000000000001E-2</v>
      </c>
      <c r="E380">
        <v>23.8</v>
      </c>
      <c r="F380">
        <v>1</v>
      </c>
      <c r="G380">
        <v>8.0252580344676902E-2</v>
      </c>
      <c r="H380">
        <v>529.22829180160295</v>
      </c>
      <c r="I380">
        <v>85.229343403707205</v>
      </c>
      <c r="K380">
        <v>8.8532812893390656E-2</v>
      </c>
      <c r="L380" s="2">
        <f t="shared" si="17"/>
        <v>10.317715035642435</v>
      </c>
      <c r="N380">
        <v>85.432723999023438</v>
      </c>
      <c r="O380">
        <v>515.8548583984375</v>
      </c>
      <c r="P380" s="2">
        <f t="shared" si="15"/>
        <v>0.23862743416064669</v>
      </c>
      <c r="Q380" s="2">
        <f t="shared" si="16"/>
        <v>-2.5269687222577439</v>
      </c>
    </row>
    <row r="381" spans="1:17" x14ac:dyDescent="0.45">
      <c r="A381" t="s">
        <v>402</v>
      </c>
      <c r="B381">
        <v>69.900000000000006</v>
      </c>
      <c r="C381">
        <v>118.1</v>
      </c>
      <c r="D381">
        <v>1.4822E-2</v>
      </c>
      <c r="E381">
        <v>22.73</v>
      </c>
      <c r="F381">
        <v>1</v>
      </c>
      <c r="G381">
        <v>7.4123479425907093E-2</v>
      </c>
      <c r="H381">
        <v>516.62408578010604</v>
      </c>
      <c r="I381">
        <v>68.936980447924299</v>
      </c>
      <c r="K381">
        <v>7.4850752949714661E-2</v>
      </c>
      <c r="L381" s="2">
        <f t="shared" si="17"/>
        <v>0.98116484741456422</v>
      </c>
      <c r="N381">
        <v>68.647544860839844</v>
      </c>
      <c r="O381">
        <v>513.89508056640625</v>
      </c>
      <c r="P381" s="2">
        <f t="shared" si="15"/>
        <v>-0.41985533048274071</v>
      </c>
      <c r="Q381" s="2">
        <f t="shared" si="16"/>
        <v>-0.52823809203145755</v>
      </c>
    </row>
    <row r="382" spans="1:17" x14ac:dyDescent="0.45">
      <c r="A382" t="s">
        <v>403</v>
      </c>
      <c r="B382">
        <v>60.8</v>
      </c>
      <c r="C382">
        <v>130</v>
      </c>
      <c r="D382">
        <v>1.1696E-2</v>
      </c>
      <c r="E382">
        <v>24.99</v>
      </c>
      <c r="F382">
        <v>1</v>
      </c>
      <c r="G382">
        <v>5.1411710679531097E-2</v>
      </c>
      <c r="H382">
        <v>536.36829180160203</v>
      </c>
      <c r="I382">
        <v>51.597633114813</v>
      </c>
      <c r="K382">
        <v>5.8456465601921082E-2</v>
      </c>
      <c r="L382" s="2">
        <f t="shared" si="17"/>
        <v>13.702626948756174</v>
      </c>
      <c r="N382">
        <v>54.340255737304688</v>
      </c>
      <c r="O382">
        <v>525.61199951171875</v>
      </c>
      <c r="P382" s="2">
        <f t="shared" si="15"/>
        <v>5.3154039379847386</v>
      </c>
      <c r="Q382" s="2">
        <f t="shared" si="16"/>
        <v>-2.0053930208577535</v>
      </c>
    </row>
    <row r="383" spans="1:17" x14ac:dyDescent="0.45">
      <c r="A383" t="s">
        <v>404</v>
      </c>
      <c r="B383">
        <v>54.1</v>
      </c>
      <c r="C383">
        <v>106.7</v>
      </c>
      <c r="D383">
        <v>9.9570000000000006E-3</v>
      </c>
      <c r="E383">
        <v>20.48</v>
      </c>
      <c r="F383">
        <v>1</v>
      </c>
      <c r="G383">
        <v>6.8881519138813005E-2</v>
      </c>
      <c r="H383">
        <v>499.89888155265402</v>
      </c>
      <c r="I383">
        <v>49.124545789725701</v>
      </c>
      <c r="K383">
        <v>6.8115346133708954E-2</v>
      </c>
      <c r="L383" s="2">
        <f t="shared" si="17"/>
        <v>-1.1123056150373603</v>
      </c>
      <c r="N383">
        <v>50.0335693359375</v>
      </c>
      <c r="O383">
        <v>495.56533813476563</v>
      </c>
      <c r="P383" s="2">
        <f t="shared" si="15"/>
        <v>1.8504467198593808</v>
      </c>
      <c r="Q383" s="2">
        <f t="shared" si="16"/>
        <v>-0.86688399950579675</v>
      </c>
    </row>
    <row r="384" spans="1:17" x14ac:dyDescent="0.45">
      <c r="A384" t="s">
        <v>405</v>
      </c>
      <c r="B384">
        <v>42.4</v>
      </c>
      <c r="C384">
        <v>101.3</v>
      </c>
      <c r="D384">
        <v>9.887E-3</v>
      </c>
      <c r="E384">
        <v>33.369999999999997</v>
      </c>
      <c r="F384">
        <v>1</v>
      </c>
      <c r="G384">
        <v>8.7903201580047594E-2</v>
      </c>
      <c r="H384">
        <v>576.36529760948099</v>
      </c>
      <c r="I384">
        <v>32.036834830906002</v>
      </c>
      <c r="K384">
        <v>9.2393971979618073E-2</v>
      </c>
      <c r="L384" s="2">
        <f t="shared" si="17"/>
        <v>5.1087677341092448</v>
      </c>
      <c r="N384">
        <v>32.365531921386719</v>
      </c>
      <c r="O384">
        <v>577.10357666015625</v>
      </c>
      <c r="P384" s="2">
        <f t="shared" si="15"/>
        <v>1.0259973939860672</v>
      </c>
      <c r="Q384" s="2">
        <f t="shared" si="16"/>
        <v>0.12809221057154699</v>
      </c>
    </row>
    <row r="385" spans="1:17" x14ac:dyDescent="0.45">
      <c r="A385" t="s">
        <v>406</v>
      </c>
      <c r="B385">
        <v>57.1</v>
      </c>
      <c r="C385">
        <v>120.8</v>
      </c>
      <c r="D385">
        <v>1.0348E-2</v>
      </c>
      <c r="E385">
        <v>21.51</v>
      </c>
      <c r="F385">
        <v>1</v>
      </c>
      <c r="G385">
        <v>5.0187435001134803E-2</v>
      </c>
      <c r="H385">
        <v>510.40478278015797</v>
      </c>
      <c r="I385">
        <v>51.260138219766098</v>
      </c>
      <c r="K385">
        <v>5.5366475135087967E-2</v>
      </c>
      <c r="L385" s="2">
        <f t="shared" si="17"/>
        <v>10.319395948081544</v>
      </c>
      <c r="N385">
        <v>51.047393798828118</v>
      </c>
      <c r="O385">
        <v>506.27670288085938</v>
      </c>
      <c r="P385" s="2">
        <f t="shared" si="15"/>
        <v>-0.41502896466234118</v>
      </c>
      <c r="Q385" s="2">
        <f t="shared" si="16"/>
        <v>-0.80878550487185552</v>
      </c>
    </row>
    <row r="386" spans="1:17" x14ac:dyDescent="0.45">
      <c r="A386" t="s">
        <v>407</v>
      </c>
      <c r="B386">
        <v>65.3</v>
      </c>
      <c r="C386">
        <v>121.3</v>
      </c>
      <c r="D386">
        <v>1.2676E-2</v>
      </c>
      <c r="E386">
        <v>21.71</v>
      </c>
      <c r="F386">
        <v>1</v>
      </c>
      <c r="G386">
        <v>6.09776861965656E-2</v>
      </c>
      <c r="H386">
        <v>511.82555983149302</v>
      </c>
      <c r="I386">
        <v>61.897625421189197</v>
      </c>
      <c r="K386">
        <v>6.4273744821548462E-2</v>
      </c>
      <c r="L386" s="2">
        <f t="shared" si="17"/>
        <v>5.4053520731465587</v>
      </c>
      <c r="N386">
        <v>62.060550689697273</v>
      </c>
      <c r="O386">
        <v>508.37448120117188</v>
      </c>
      <c r="P386" s="2">
        <f t="shared" si="15"/>
        <v>0.26321731633391887</v>
      </c>
      <c r="Q386" s="2">
        <f t="shared" si="16"/>
        <v>-0.67426852059856857</v>
      </c>
    </row>
    <row r="387" spans="1:17" x14ac:dyDescent="0.45">
      <c r="A387" t="s">
        <v>408</v>
      </c>
      <c r="B387">
        <v>88.3</v>
      </c>
      <c r="C387">
        <v>117.2</v>
      </c>
      <c r="D387">
        <v>2.8906000000000001E-2</v>
      </c>
      <c r="E387">
        <v>35</v>
      </c>
      <c r="F387">
        <v>1</v>
      </c>
      <c r="G387">
        <v>0.13785941898822701</v>
      </c>
      <c r="H387">
        <v>589.90961013106096</v>
      </c>
      <c r="I387">
        <v>91.397521313852494</v>
      </c>
      <c r="K387">
        <v>0.15240469574928281</v>
      </c>
      <c r="L387" s="2">
        <f t="shared" si="17"/>
        <v>10.550803759225143</v>
      </c>
      <c r="N387">
        <v>91.0079345703125</v>
      </c>
      <c r="O387">
        <v>590.38250732421875</v>
      </c>
      <c r="P387" s="2">
        <f t="shared" si="15"/>
        <v>-0.42625526156467725</v>
      </c>
      <c r="Q387" s="2">
        <f t="shared" si="16"/>
        <v>8.0164348068974073E-2</v>
      </c>
    </row>
    <row r="388" spans="1:17" x14ac:dyDescent="0.45">
      <c r="A388" t="s">
        <v>409</v>
      </c>
      <c r="B388">
        <v>49.4</v>
      </c>
      <c r="C388">
        <v>109.4</v>
      </c>
      <c r="D388">
        <v>8.3339999999999994E-3</v>
      </c>
      <c r="E388">
        <v>20</v>
      </c>
      <c r="F388">
        <v>1</v>
      </c>
      <c r="G388">
        <v>5.2394568920135498E-2</v>
      </c>
      <c r="H388">
        <v>497.600651452661</v>
      </c>
      <c r="I388">
        <v>41.998404200492502</v>
      </c>
      <c r="K388">
        <v>5.2734255790710449E-2</v>
      </c>
      <c r="L388" s="2">
        <f t="shared" si="17"/>
        <v>0.64832458320772213</v>
      </c>
      <c r="N388">
        <v>38.956680297851563</v>
      </c>
      <c r="O388">
        <v>493.63214111328119</v>
      </c>
      <c r="P388" s="2">
        <f t="shared" si="15"/>
        <v>-7.2424749476678212</v>
      </c>
      <c r="Q388" s="2">
        <f t="shared" si="16"/>
        <v>-0.7975291687811118</v>
      </c>
    </row>
    <row r="389" spans="1:17" x14ac:dyDescent="0.45">
      <c r="A389" t="s">
        <v>410</v>
      </c>
      <c r="B389">
        <v>89.9</v>
      </c>
      <c r="C389">
        <v>114.1</v>
      </c>
      <c r="D389">
        <v>2.3782999999999999E-2</v>
      </c>
      <c r="E389">
        <v>26.11</v>
      </c>
      <c r="F389">
        <v>1</v>
      </c>
      <c r="G389">
        <v>0.126140266656875</v>
      </c>
      <c r="H389">
        <v>535.53124127383899</v>
      </c>
      <c r="I389">
        <v>96.531409965411896</v>
      </c>
      <c r="K389">
        <v>0.1227805614471436</v>
      </c>
      <c r="L389" s="2">
        <f t="shared" si="17"/>
        <v>-2.6634676608623531</v>
      </c>
      <c r="N389">
        <v>98.934463500976563</v>
      </c>
      <c r="O389">
        <v>534.4794921875</v>
      </c>
      <c r="P389" s="2">
        <f t="shared" si="15"/>
        <v>2.4894006380158573</v>
      </c>
      <c r="Q389" s="2">
        <f t="shared" si="16"/>
        <v>-0.19639360046245827</v>
      </c>
    </row>
    <row r="390" spans="1:17" x14ac:dyDescent="0.45">
      <c r="A390" t="s">
        <v>411</v>
      </c>
      <c r="B390">
        <v>85.7</v>
      </c>
      <c r="C390">
        <v>114</v>
      </c>
      <c r="D390">
        <v>2.7109999999999999E-2</v>
      </c>
      <c r="E390">
        <v>33.04</v>
      </c>
      <c r="F390">
        <v>1</v>
      </c>
      <c r="G390">
        <v>0.13949255645275099</v>
      </c>
      <c r="H390">
        <v>577.08053541185802</v>
      </c>
      <c r="I390">
        <v>89.727752839834693</v>
      </c>
      <c r="K390">
        <v>0.15266662836074829</v>
      </c>
      <c r="L390" s="2">
        <f t="shared" si="17"/>
        <v>9.4442830807675584</v>
      </c>
      <c r="N390">
        <v>89.330230712890625</v>
      </c>
      <c r="O390">
        <v>579.5157470703125</v>
      </c>
      <c r="P390" s="2">
        <f t="shared" si="15"/>
        <v>-0.44303140819056364</v>
      </c>
      <c r="Q390" s="2">
        <f t="shared" si="16"/>
        <v>0.42198818172172192</v>
      </c>
    </row>
    <row r="391" spans="1:17" x14ac:dyDescent="0.45">
      <c r="A391" t="s">
        <v>412</v>
      </c>
      <c r="B391">
        <v>66.900000000000006</v>
      </c>
      <c r="C391">
        <v>130</v>
      </c>
      <c r="D391">
        <v>1.1398999999999999E-2</v>
      </c>
      <c r="E391">
        <v>20</v>
      </c>
      <c r="F391">
        <v>1.1100000000000001</v>
      </c>
      <c r="G391">
        <v>5.1885761320590897E-2</v>
      </c>
      <c r="H391">
        <v>521.35142942352195</v>
      </c>
      <c r="I391">
        <v>64.825355923138304</v>
      </c>
      <c r="K391">
        <v>5.5963817983865738E-2</v>
      </c>
      <c r="L391" s="2">
        <f t="shared" si="17"/>
        <v>7.8596835807754868</v>
      </c>
      <c r="N391">
        <v>66.302116394042969</v>
      </c>
      <c r="O391">
        <v>508.89859008789063</v>
      </c>
      <c r="P391" s="2">
        <f t="shared" si="15"/>
        <v>2.2780599502694914</v>
      </c>
      <c r="Q391" s="2">
        <f t="shared" si="16"/>
        <v>-2.3885691364461974</v>
      </c>
    </row>
    <row r="392" spans="1:17" x14ac:dyDescent="0.45">
      <c r="A392" t="s">
        <v>413</v>
      </c>
      <c r="B392">
        <v>76</v>
      </c>
      <c r="C392">
        <v>125.4</v>
      </c>
      <c r="D392">
        <v>2.2037999999999999E-2</v>
      </c>
      <c r="E392">
        <v>35</v>
      </c>
      <c r="F392">
        <v>1</v>
      </c>
      <c r="G392">
        <v>9.4632647931575706E-2</v>
      </c>
      <c r="H392">
        <v>593.59848327560405</v>
      </c>
      <c r="I392">
        <v>71.597120000481198</v>
      </c>
      <c r="K392">
        <v>0.1059059351682663</v>
      </c>
      <c r="L392" s="2">
        <f t="shared" si="17"/>
        <v>11.912682866954922</v>
      </c>
      <c r="N392">
        <v>73.35443115234375</v>
      </c>
      <c r="O392">
        <v>591.443603515625</v>
      </c>
      <c r="P392" s="2">
        <f t="shared" si="15"/>
        <v>2.4544439103845819</v>
      </c>
      <c r="Q392" s="2">
        <f t="shared" si="16"/>
        <v>-0.36301975505192724</v>
      </c>
    </row>
    <row r="393" spans="1:17" x14ac:dyDescent="0.45">
      <c r="A393" t="s">
        <v>414</v>
      </c>
      <c r="B393">
        <v>53.7</v>
      </c>
      <c r="C393">
        <v>130</v>
      </c>
      <c r="D393">
        <v>1.0893E-2</v>
      </c>
      <c r="E393">
        <v>29.18</v>
      </c>
      <c r="F393">
        <v>1</v>
      </c>
      <c r="G393">
        <v>4.6819005161523798E-2</v>
      </c>
      <c r="H393">
        <v>561.50829180160304</v>
      </c>
      <c r="I393">
        <v>42.4522117734384</v>
      </c>
      <c r="K393">
        <v>5.5907204747200012E-2</v>
      </c>
      <c r="L393" s="2">
        <f t="shared" si="17"/>
        <v>19.411347067974361</v>
      </c>
      <c r="N393">
        <v>42.526031494140618</v>
      </c>
      <c r="O393">
        <v>549.838623046875</v>
      </c>
      <c r="P393" s="2">
        <f t="shared" si="15"/>
        <v>0.17388898627045365</v>
      </c>
      <c r="Q393" s="2">
        <f t="shared" si="16"/>
        <v>-2.0782718483614602</v>
      </c>
    </row>
    <row r="394" spans="1:17" x14ac:dyDescent="0.45">
      <c r="A394" t="s">
        <v>415</v>
      </c>
      <c r="B394">
        <v>57.7</v>
      </c>
      <c r="C394">
        <v>130</v>
      </c>
      <c r="D394">
        <v>1.1719E-2</v>
      </c>
      <c r="E394">
        <v>27.76</v>
      </c>
      <c r="F394">
        <v>1</v>
      </c>
      <c r="G394">
        <v>5.0726518034934998E-2</v>
      </c>
      <c r="H394">
        <v>552.98829180160203</v>
      </c>
      <c r="I394">
        <v>48.130880638141797</v>
      </c>
      <c r="K394">
        <v>6.2172383069992072E-2</v>
      </c>
      <c r="L394" s="2">
        <f t="shared" si="17"/>
        <v>22.563868916006395</v>
      </c>
      <c r="N394">
        <v>49.270111083984382</v>
      </c>
      <c r="O394">
        <v>542.06903076171875</v>
      </c>
      <c r="P394" s="2">
        <f t="shared" si="15"/>
        <v>2.3669428664884871</v>
      </c>
      <c r="Q394" s="2">
        <f t="shared" si="16"/>
        <v>-1.9745917231464336</v>
      </c>
    </row>
    <row r="395" spans="1:17" x14ac:dyDescent="0.45">
      <c r="A395" t="s">
        <v>416</v>
      </c>
      <c r="B395">
        <v>62.2</v>
      </c>
      <c r="C395">
        <v>109.5</v>
      </c>
      <c r="D395">
        <v>1.8754E-2</v>
      </c>
      <c r="E395">
        <v>35</v>
      </c>
      <c r="F395">
        <v>1</v>
      </c>
      <c r="G395">
        <v>0.109515905380249</v>
      </c>
      <c r="H395">
        <v>587.62418257069999</v>
      </c>
      <c r="I395">
        <v>59.045638388433296</v>
      </c>
      <c r="K395">
        <v>0.1122821867465973</v>
      </c>
      <c r="L395" s="2">
        <f t="shared" si="17"/>
        <v>2.5259174516646987</v>
      </c>
      <c r="N395">
        <v>57.793102264404297</v>
      </c>
      <c r="O395">
        <v>585.69708251953125</v>
      </c>
      <c r="P395" s="2">
        <f t="shared" si="15"/>
        <v>-2.1213016883468305</v>
      </c>
      <c r="Q395" s="2">
        <f t="shared" si="16"/>
        <v>-0.32794771017390478</v>
      </c>
    </row>
    <row r="396" spans="1:17" x14ac:dyDescent="0.45">
      <c r="A396" t="s">
        <v>417</v>
      </c>
      <c r="B396">
        <v>63.9</v>
      </c>
      <c r="C396">
        <v>106.5</v>
      </c>
      <c r="D396">
        <v>1.6279999999999999E-2</v>
      </c>
      <c r="E396">
        <v>27.66</v>
      </c>
      <c r="F396">
        <v>1</v>
      </c>
      <c r="G396">
        <v>0.109819337725639</v>
      </c>
      <c r="H396">
        <v>542.93979024449004</v>
      </c>
      <c r="I396">
        <v>61.919746805826399</v>
      </c>
      <c r="K396">
        <v>0.1081558987498283</v>
      </c>
      <c r="L396" s="2">
        <f t="shared" si="17"/>
        <v>-1.5147049784314481</v>
      </c>
      <c r="N396">
        <v>61.300788879394531</v>
      </c>
      <c r="O396">
        <v>537.63092041015625</v>
      </c>
      <c r="P396" s="2">
        <f t="shared" si="15"/>
        <v>-0.99961314178633986</v>
      </c>
      <c r="Q396" s="2">
        <f t="shared" si="16"/>
        <v>-0.97780084085256758</v>
      </c>
    </row>
    <row r="397" spans="1:17" x14ac:dyDescent="0.45">
      <c r="A397" t="s">
        <v>418</v>
      </c>
      <c r="B397">
        <v>78.3</v>
      </c>
      <c r="C397">
        <v>113.5</v>
      </c>
      <c r="D397">
        <v>2.2579999999999999E-2</v>
      </c>
      <c r="E397">
        <v>30.51</v>
      </c>
      <c r="F397">
        <v>1</v>
      </c>
      <c r="G397">
        <v>0.11897250264883</v>
      </c>
      <c r="H397">
        <v>561.749509131727</v>
      </c>
      <c r="I397">
        <v>79.597358795752996</v>
      </c>
      <c r="K397">
        <v>0.12307062745094299</v>
      </c>
      <c r="L397" s="2">
        <f t="shared" si="17"/>
        <v>3.4445982986584656</v>
      </c>
      <c r="N397">
        <v>78.264579772949219</v>
      </c>
      <c r="O397">
        <v>561.94989013671875</v>
      </c>
      <c r="P397" s="2">
        <f t="shared" si="15"/>
        <v>-1.6744010642660783</v>
      </c>
      <c r="Q397" s="2">
        <f t="shared" si="16"/>
        <v>3.5670882080782833E-2</v>
      </c>
    </row>
    <row r="398" spans="1:17" x14ac:dyDescent="0.45">
      <c r="A398" t="s">
        <v>419</v>
      </c>
      <c r="B398">
        <v>45.6</v>
      </c>
      <c r="C398">
        <v>114.6</v>
      </c>
      <c r="D398">
        <v>7.0569999999999999E-3</v>
      </c>
      <c r="E398">
        <v>20</v>
      </c>
      <c r="F398">
        <v>1</v>
      </c>
      <c r="G398">
        <v>3.8554258644580799E-2</v>
      </c>
      <c r="H398">
        <v>499.02730548560402</v>
      </c>
      <c r="I398">
        <v>36.133445121096997</v>
      </c>
      <c r="K398">
        <v>3.8427602499723428E-2</v>
      </c>
      <c r="L398" s="2">
        <f t="shared" si="17"/>
        <v>-0.32851401974804867</v>
      </c>
      <c r="N398">
        <v>32.552158355712891</v>
      </c>
      <c r="O398">
        <v>497.19564819335938</v>
      </c>
      <c r="P398" s="2">
        <f t="shared" si="15"/>
        <v>-9.9112795732093772</v>
      </c>
      <c r="Q398" s="2">
        <f t="shared" si="16"/>
        <v>-0.3670455047469306</v>
      </c>
    </row>
    <row r="399" spans="1:17" x14ac:dyDescent="0.45">
      <c r="A399" t="s">
        <v>420</v>
      </c>
      <c r="B399">
        <v>59.7</v>
      </c>
      <c r="C399">
        <v>111</v>
      </c>
      <c r="D399">
        <v>1.7505E-2</v>
      </c>
      <c r="E399">
        <v>35</v>
      </c>
      <c r="F399">
        <v>1</v>
      </c>
      <c r="G399">
        <v>9.7206346690654699E-2</v>
      </c>
      <c r="H399">
        <v>587.99484915657399</v>
      </c>
      <c r="I399">
        <v>54.633019582873402</v>
      </c>
      <c r="K399">
        <v>0.1018218919634819</v>
      </c>
      <c r="L399" s="2">
        <f t="shared" si="17"/>
        <v>4.7481933330089205</v>
      </c>
      <c r="N399">
        <v>54.620967864990227</v>
      </c>
      <c r="O399">
        <v>587.25921630859375</v>
      </c>
      <c r="P399" s="2">
        <f t="shared" si="15"/>
        <v>-2.2059402857814478E-2</v>
      </c>
      <c r="Q399" s="2">
        <f t="shared" si="16"/>
        <v>-0.12510872315215701</v>
      </c>
    </row>
    <row r="400" spans="1:17" x14ac:dyDescent="0.45">
      <c r="A400" t="s">
        <v>421</v>
      </c>
      <c r="B400">
        <v>74.400000000000006</v>
      </c>
      <c r="C400">
        <v>116.7</v>
      </c>
      <c r="D400">
        <v>1.813E-2</v>
      </c>
      <c r="E400">
        <v>26.01</v>
      </c>
      <c r="F400">
        <v>1</v>
      </c>
      <c r="G400">
        <v>9.1066688299178994E-2</v>
      </c>
      <c r="H400">
        <v>535.79042025039303</v>
      </c>
      <c r="I400">
        <v>74.750821602158695</v>
      </c>
      <c r="K400">
        <v>9.202197939157486E-2</v>
      </c>
      <c r="L400" s="2">
        <f t="shared" si="17"/>
        <v>1.0490016824346056</v>
      </c>
      <c r="N400">
        <v>75.754470825195313</v>
      </c>
      <c r="O400">
        <v>532.82464599609375</v>
      </c>
      <c r="P400" s="2">
        <f t="shared" si="15"/>
        <v>1.3426597882472424</v>
      </c>
      <c r="Q400" s="2">
        <f t="shared" si="16"/>
        <v>-0.553532527310449</v>
      </c>
    </row>
    <row r="401" spans="1:17" x14ac:dyDescent="0.45">
      <c r="A401" t="s">
        <v>422</v>
      </c>
      <c r="B401">
        <v>84.6</v>
      </c>
      <c r="C401">
        <v>130</v>
      </c>
      <c r="D401">
        <v>2.2349999999999998E-2</v>
      </c>
      <c r="E401">
        <v>31.78</v>
      </c>
      <c r="F401">
        <v>1</v>
      </c>
      <c r="G401">
        <v>9.4920426607131902E-2</v>
      </c>
      <c r="H401">
        <v>577.10829180160397</v>
      </c>
      <c r="I401">
        <v>79.847500652701598</v>
      </c>
      <c r="K401">
        <v>0.10173922777175901</v>
      </c>
      <c r="L401" s="2">
        <f t="shared" si="17"/>
        <v>7.1837026110824169</v>
      </c>
      <c r="N401">
        <v>83.382919311523438</v>
      </c>
      <c r="O401">
        <v>566.33697509765625</v>
      </c>
      <c r="P401" s="2">
        <f t="shared" si="15"/>
        <v>4.4277136164840254</v>
      </c>
      <c r="Q401" s="2">
        <f t="shared" si="16"/>
        <v>-1.866429031945124</v>
      </c>
    </row>
    <row r="402" spans="1:17" x14ac:dyDescent="0.45">
      <c r="A402" t="s">
        <v>423</v>
      </c>
      <c r="B402">
        <v>59</v>
      </c>
      <c r="C402">
        <v>114.4</v>
      </c>
      <c r="D402">
        <v>1.2852000000000001E-2</v>
      </c>
      <c r="E402">
        <v>25.16</v>
      </c>
      <c r="F402">
        <v>1</v>
      </c>
      <c r="G402">
        <v>6.81025385856628E-2</v>
      </c>
      <c r="H402">
        <v>529.92437046441501</v>
      </c>
      <c r="I402">
        <v>54.030950014501897</v>
      </c>
      <c r="K402">
        <v>7.3036186397075653E-2</v>
      </c>
      <c r="L402" s="2">
        <f t="shared" si="17"/>
        <v>7.2444403892625271</v>
      </c>
      <c r="N402">
        <v>54.111660003662109</v>
      </c>
      <c r="O402">
        <v>528.8177490234375</v>
      </c>
      <c r="P402" s="2">
        <f t="shared" si="15"/>
        <v>0.14937732751052787</v>
      </c>
      <c r="Q402" s="2">
        <f t="shared" si="16"/>
        <v>-0.20882629723326085</v>
      </c>
    </row>
    <row r="403" spans="1:17" x14ac:dyDescent="0.45">
      <c r="A403" t="s">
        <v>424</v>
      </c>
      <c r="B403">
        <v>70.900000000000006</v>
      </c>
      <c r="C403">
        <v>124.4</v>
      </c>
      <c r="D403">
        <v>1.677E-2</v>
      </c>
      <c r="E403">
        <v>27.75</v>
      </c>
      <c r="F403">
        <v>1.1200000000000001</v>
      </c>
      <c r="G403">
        <v>7.5081549584865501E-2</v>
      </c>
      <c r="H403">
        <v>571.28920508295198</v>
      </c>
      <c r="I403">
        <v>68.764738421370097</v>
      </c>
      <c r="K403">
        <v>8.4567897021770477E-2</v>
      </c>
      <c r="L403" s="2">
        <f t="shared" si="17"/>
        <v>12.634725161316036</v>
      </c>
      <c r="N403">
        <v>68.48065185546875</v>
      </c>
      <c r="O403">
        <v>562.48095703125</v>
      </c>
      <c r="P403" s="2">
        <f t="shared" si="15"/>
        <v>-0.41312825791694058</v>
      </c>
      <c r="Q403" s="2">
        <f t="shared" si="16"/>
        <v>-1.5418194450957656</v>
      </c>
    </row>
    <row r="404" spans="1:17" x14ac:dyDescent="0.45">
      <c r="A404" t="s">
        <v>425</v>
      </c>
      <c r="B404">
        <v>54.9</v>
      </c>
      <c r="C404">
        <v>106.8</v>
      </c>
      <c r="D404">
        <v>1.0005999999999999E-2</v>
      </c>
      <c r="E404">
        <v>20</v>
      </c>
      <c r="F404">
        <v>1</v>
      </c>
      <c r="G404">
        <v>6.9102302193641593E-2</v>
      </c>
      <c r="H404">
        <v>497.03862969411199</v>
      </c>
      <c r="I404">
        <v>50.165440219553297</v>
      </c>
      <c r="K404">
        <v>6.8791769444942474E-2</v>
      </c>
      <c r="L404" s="2">
        <f t="shared" si="17"/>
        <v>-0.4493811911344574</v>
      </c>
      <c r="N404">
        <v>51.434761047363281</v>
      </c>
      <c r="O404">
        <v>491.3807373046875</v>
      </c>
      <c r="P404" s="2">
        <f t="shared" si="15"/>
        <v>2.5302694888247657</v>
      </c>
      <c r="Q404" s="2">
        <f t="shared" si="16"/>
        <v>-1.1383204546709931</v>
      </c>
    </row>
    <row r="405" spans="1:17" x14ac:dyDescent="0.45">
      <c r="A405" t="s">
        <v>426</v>
      </c>
      <c r="B405">
        <v>73.3</v>
      </c>
      <c r="C405">
        <v>130</v>
      </c>
      <c r="D405">
        <v>1.2955E-2</v>
      </c>
      <c r="E405">
        <v>20</v>
      </c>
      <c r="F405">
        <v>1</v>
      </c>
      <c r="G405">
        <v>5.8935619890689801E-2</v>
      </c>
      <c r="H405">
        <v>506.428291801603</v>
      </c>
      <c r="I405">
        <v>70.878682471506906</v>
      </c>
      <c r="K405">
        <v>6.2286537140607827E-2</v>
      </c>
      <c r="L405" s="2">
        <f t="shared" si="17"/>
        <v>5.6857249590877341</v>
      </c>
      <c r="N405">
        <v>71.440071105957031</v>
      </c>
      <c r="O405">
        <v>490.7935791015625</v>
      </c>
      <c r="P405" s="2">
        <f t="shared" si="15"/>
        <v>0.79204157706487066</v>
      </c>
      <c r="Q405" s="2">
        <f t="shared" si="16"/>
        <v>-3.0872510389221124</v>
      </c>
    </row>
    <row r="406" spans="1:17" x14ac:dyDescent="0.45">
      <c r="A406" t="s">
        <v>427</v>
      </c>
      <c r="B406">
        <v>49.4</v>
      </c>
      <c r="C406">
        <v>104.9</v>
      </c>
      <c r="D406">
        <v>1.3346999999999999E-2</v>
      </c>
      <c r="E406">
        <v>35</v>
      </c>
      <c r="F406">
        <v>1</v>
      </c>
      <c r="G406">
        <v>9.4913579523563302E-2</v>
      </c>
      <c r="H406">
        <v>586.68620710391599</v>
      </c>
      <c r="I406">
        <v>41.992263959519498</v>
      </c>
      <c r="K406">
        <v>0.1013819947838783</v>
      </c>
      <c r="L406" s="2">
        <f t="shared" si="17"/>
        <v>6.8150577533630425</v>
      </c>
      <c r="N406">
        <v>40.243434906005859</v>
      </c>
      <c r="O406">
        <v>590.967041015625</v>
      </c>
      <c r="P406" s="2">
        <f t="shared" si="15"/>
        <v>-4.1646457909473709</v>
      </c>
      <c r="Q406" s="2">
        <f t="shared" si="16"/>
        <v>0.72966329528022689</v>
      </c>
    </row>
    <row r="407" spans="1:17" x14ac:dyDescent="0.45">
      <c r="A407" t="s">
        <v>428</v>
      </c>
      <c r="B407">
        <v>45.5</v>
      </c>
      <c r="C407">
        <v>130</v>
      </c>
      <c r="D407">
        <v>8.3829999999999998E-3</v>
      </c>
      <c r="E407">
        <v>29.81</v>
      </c>
      <c r="F407">
        <v>1</v>
      </c>
      <c r="G407">
        <v>3.5922490060329403E-2</v>
      </c>
      <c r="H407">
        <v>565.28829180160301</v>
      </c>
      <c r="I407">
        <v>32.075714927400298</v>
      </c>
      <c r="K407">
        <v>3.9180487394332893E-2</v>
      </c>
      <c r="L407" s="2">
        <f t="shared" si="17"/>
        <v>9.0695197591589647</v>
      </c>
      <c r="N407">
        <v>30.957380294799801</v>
      </c>
      <c r="O407">
        <v>558.1346435546875</v>
      </c>
      <c r="P407" s="2">
        <f t="shared" si="15"/>
        <v>-3.4865462395202087</v>
      </c>
      <c r="Q407" s="2">
        <f t="shared" si="16"/>
        <v>-1.2654867172494344</v>
      </c>
    </row>
    <row r="408" spans="1:17" x14ac:dyDescent="0.45">
      <c r="A408" t="s">
        <v>429</v>
      </c>
      <c r="B408">
        <v>82</v>
      </c>
      <c r="C408">
        <v>103</v>
      </c>
      <c r="D408">
        <v>2.8348000000000002E-2</v>
      </c>
      <c r="E408">
        <v>35</v>
      </c>
      <c r="F408">
        <v>1</v>
      </c>
      <c r="G408">
        <v>0.224347949028015</v>
      </c>
      <c r="H408">
        <v>586.38057726620195</v>
      </c>
      <c r="I408">
        <v>88.047437176047296</v>
      </c>
      <c r="K408">
        <v>0.21992018818855291</v>
      </c>
      <c r="L408" s="2">
        <f t="shared" si="17"/>
        <v>-1.9736132461407874</v>
      </c>
      <c r="N408">
        <v>91.801681518554688</v>
      </c>
      <c r="O408">
        <v>590.004150390625</v>
      </c>
      <c r="P408" s="2">
        <f t="shared" si="15"/>
        <v>4.2638882662773376</v>
      </c>
      <c r="Q408" s="2">
        <f t="shared" si="16"/>
        <v>0.61795585749390125</v>
      </c>
    </row>
    <row r="409" spans="1:17" x14ac:dyDescent="0.45">
      <c r="A409" t="s">
        <v>430</v>
      </c>
      <c r="B409">
        <v>78.900000000000006</v>
      </c>
      <c r="C409">
        <v>105.7</v>
      </c>
      <c r="D409">
        <v>2.5212999999999999E-2</v>
      </c>
      <c r="E409">
        <v>32.770000000000003</v>
      </c>
      <c r="F409">
        <v>1</v>
      </c>
      <c r="G409">
        <v>0.17336873710155401</v>
      </c>
      <c r="H409">
        <v>573.448777036622</v>
      </c>
      <c r="I409">
        <v>83.073126782549906</v>
      </c>
      <c r="K409">
        <v>0.184613972902298</v>
      </c>
      <c r="L409" s="2">
        <f t="shared" si="17"/>
        <v>6.4863111935555491</v>
      </c>
      <c r="N409">
        <v>86.339523315429688</v>
      </c>
      <c r="O409">
        <v>575.33489990234375</v>
      </c>
      <c r="P409" s="2">
        <f t="shared" si="15"/>
        <v>3.9319532794640288</v>
      </c>
      <c r="Q409" s="2">
        <f t="shared" si="16"/>
        <v>0.32890869093287689</v>
      </c>
    </row>
    <row r="410" spans="1:17" x14ac:dyDescent="0.45">
      <c r="A410" t="s">
        <v>431</v>
      </c>
      <c r="B410">
        <v>67.400000000000006</v>
      </c>
      <c r="C410">
        <v>118.4</v>
      </c>
      <c r="D410">
        <v>1.5566999999999999E-2</v>
      </c>
      <c r="E410">
        <v>25.93</v>
      </c>
      <c r="F410">
        <v>1</v>
      </c>
      <c r="G410">
        <v>7.5892336666584001E-2</v>
      </c>
      <c r="H410">
        <v>535.93906382667205</v>
      </c>
      <c r="I410">
        <v>64.184965977390206</v>
      </c>
      <c r="K410">
        <v>8.039749413728714E-2</v>
      </c>
      <c r="L410" s="2">
        <f t="shared" si="17"/>
        <v>5.9362482018382696</v>
      </c>
      <c r="N410">
        <v>64.488166809082031</v>
      </c>
      <c r="O410">
        <v>534.10760498046875</v>
      </c>
      <c r="P410" s="2">
        <f t="shared" si="15"/>
        <v>0.4723860596866728</v>
      </c>
      <c r="Q410" s="2">
        <f t="shared" si="16"/>
        <v>-0.34172893334672388</v>
      </c>
    </row>
    <row r="411" spans="1:17" x14ac:dyDescent="0.45">
      <c r="A411" t="s">
        <v>432</v>
      </c>
      <c r="B411">
        <v>65</v>
      </c>
      <c r="C411">
        <v>130</v>
      </c>
      <c r="D411">
        <v>1.3788E-2</v>
      </c>
      <c r="E411">
        <v>27.25</v>
      </c>
      <c r="F411">
        <v>1</v>
      </c>
      <c r="G411">
        <v>5.9841170907020499E-2</v>
      </c>
      <c r="H411">
        <v>549.928291801603</v>
      </c>
      <c r="I411">
        <v>57.467637950301103</v>
      </c>
      <c r="K411">
        <v>7.2159014642238617E-2</v>
      </c>
      <c r="L411" s="2">
        <f t="shared" si="17"/>
        <v>20.584229132744127</v>
      </c>
      <c r="N411">
        <v>60.278953552246087</v>
      </c>
      <c r="O411">
        <v>540.8590087890625</v>
      </c>
      <c r="P411" s="2">
        <f t="shared" si="15"/>
        <v>4.8919978308074059</v>
      </c>
      <c r="Q411" s="2">
        <f t="shared" si="16"/>
        <v>-1.6491755648411721</v>
      </c>
    </row>
    <row r="412" spans="1:17" x14ac:dyDescent="0.45">
      <c r="A412" t="s">
        <v>433</v>
      </c>
      <c r="B412">
        <v>65.099999999999994</v>
      </c>
      <c r="C412">
        <v>115.2</v>
      </c>
      <c r="D412">
        <v>1.6337999999999998E-2</v>
      </c>
      <c r="E412">
        <v>28.5</v>
      </c>
      <c r="F412">
        <v>1</v>
      </c>
      <c r="G412">
        <v>8.3517491817474296E-2</v>
      </c>
      <c r="H412">
        <v>550.22023822087101</v>
      </c>
      <c r="I412">
        <v>61.534154304903801</v>
      </c>
      <c r="K412">
        <v>8.7486803531646729E-2</v>
      </c>
      <c r="L412" s="2">
        <f t="shared" si="17"/>
        <v>4.7526711204968644</v>
      </c>
      <c r="N412">
        <v>61.31689453125</v>
      </c>
      <c r="O412">
        <v>551.27996826171875</v>
      </c>
      <c r="P412" s="2">
        <f t="shared" si="15"/>
        <v>-0.35307184458450735</v>
      </c>
      <c r="Q412" s="2">
        <f t="shared" si="16"/>
        <v>0.19260106539780522</v>
      </c>
    </row>
    <row r="413" spans="1:17" x14ac:dyDescent="0.45">
      <c r="A413" t="s">
        <v>434</v>
      </c>
      <c r="B413">
        <v>86.3</v>
      </c>
      <c r="C413">
        <v>114</v>
      </c>
      <c r="D413">
        <v>2.3656E-2</v>
      </c>
      <c r="E413">
        <v>27.69</v>
      </c>
      <c r="F413">
        <v>1</v>
      </c>
      <c r="G413">
        <v>0.12475411593914</v>
      </c>
      <c r="H413">
        <v>544.980535411858</v>
      </c>
      <c r="I413">
        <v>91.945616878293706</v>
      </c>
      <c r="K413">
        <v>0.12324737012386321</v>
      </c>
      <c r="L413" s="2">
        <f t="shared" si="17"/>
        <v>-1.2077724281352324</v>
      </c>
      <c r="N413">
        <v>93.014137268066406</v>
      </c>
      <c r="O413">
        <v>542.868408203125</v>
      </c>
      <c r="P413" s="2">
        <f t="shared" si="15"/>
        <v>1.162122160958555</v>
      </c>
      <c r="Q413" s="2">
        <f t="shared" si="16"/>
        <v>-0.3875601184796082</v>
      </c>
    </row>
    <row r="414" spans="1:17" x14ac:dyDescent="0.45">
      <c r="A414" t="s">
        <v>435</v>
      </c>
      <c r="B414">
        <v>72.599999999999994</v>
      </c>
      <c r="C414">
        <v>112.2</v>
      </c>
      <c r="D414">
        <v>1.8567E-2</v>
      </c>
      <c r="E414">
        <v>26.97</v>
      </c>
      <c r="F414">
        <v>1</v>
      </c>
      <c r="G414">
        <v>0.102989554405212</v>
      </c>
      <c r="H414">
        <v>540.13595332013301</v>
      </c>
      <c r="I414">
        <v>73.0998599091252</v>
      </c>
      <c r="K414">
        <v>0.1030576229095459</v>
      </c>
      <c r="L414" s="2">
        <f t="shared" si="17"/>
        <v>6.6092629225371027E-2</v>
      </c>
      <c r="N414">
        <v>72.568359375</v>
      </c>
      <c r="O414">
        <v>537.30963134765625</v>
      </c>
      <c r="P414" s="2">
        <f t="shared" si="15"/>
        <v>-0.72708830740023356</v>
      </c>
      <c r="Q414" s="2">
        <f t="shared" si="16"/>
        <v>-0.52326121879200849</v>
      </c>
    </row>
    <row r="415" spans="1:17" x14ac:dyDescent="0.45">
      <c r="A415" t="s">
        <v>436</v>
      </c>
      <c r="B415">
        <v>54.2</v>
      </c>
      <c r="C415">
        <v>110</v>
      </c>
      <c r="D415">
        <v>1.2029E-2</v>
      </c>
      <c r="E415">
        <v>26.45</v>
      </c>
      <c r="F415">
        <v>1</v>
      </c>
      <c r="G415">
        <v>7.1470700204372406E-2</v>
      </c>
      <c r="H415">
        <v>536.44402919477295</v>
      </c>
      <c r="I415">
        <v>48.339320093782803</v>
      </c>
      <c r="K415">
        <v>7.4580438435077667E-2</v>
      </c>
      <c r="L415" s="2">
        <f t="shared" si="17"/>
        <v>4.3510672510733501</v>
      </c>
      <c r="N415">
        <v>47.644748687744141</v>
      </c>
      <c r="O415">
        <v>536.6795654296875</v>
      </c>
      <c r="P415" s="2">
        <f t="shared" si="15"/>
        <v>-1.4368663123335796</v>
      </c>
      <c r="Q415" s="2">
        <f t="shared" si="16"/>
        <v>4.3906954331861738E-2</v>
      </c>
    </row>
    <row r="416" spans="1:17" x14ac:dyDescent="0.45">
      <c r="A416" t="s">
        <v>437</v>
      </c>
      <c r="B416">
        <v>57</v>
      </c>
      <c r="C416">
        <v>126.3</v>
      </c>
      <c r="D416">
        <v>1.1356E-2</v>
      </c>
      <c r="E416">
        <v>25.95</v>
      </c>
      <c r="F416">
        <v>1</v>
      </c>
      <c r="G416">
        <v>5.05603849887847E-2</v>
      </c>
      <c r="H416">
        <v>539.80261643193296</v>
      </c>
      <c r="I416">
        <v>48.801835708505699</v>
      </c>
      <c r="K416">
        <v>5.7832773774862289E-2</v>
      </c>
      <c r="L416" s="2">
        <f t="shared" si="17"/>
        <v>14.383570828605736</v>
      </c>
      <c r="N416">
        <v>49.968372344970703</v>
      </c>
      <c r="O416">
        <v>529.412841796875</v>
      </c>
      <c r="P416" s="2">
        <f t="shared" si="15"/>
        <v>2.3903540092892199</v>
      </c>
      <c r="Q416" s="2">
        <f t="shared" si="16"/>
        <v>-1.9247358791503879</v>
      </c>
    </row>
    <row r="417" spans="1:17" x14ac:dyDescent="0.45">
      <c r="A417" t="s">
        <v>438</v>
      </c>
      <c r="B417">
        <v>74.5</v>
      </c>
      <c r="C417">
        <v>112.7</v>
      </c>
      <c r="D417">
        <v>2.0049999999999998E-2</v>
      </c>
      <c r="E417">
        <v>28.47</v>
      </c>
      <c r="F417">
        <v>1</v>
      </c>
      <c r="G417">
        <v>0.108838237822055</v>
      </c>
      <c r="H417">
        <v>549.27640840305799</v>
      </c>
      <c r="I417">
        <v>75.1526975726795</v>
      </c>
      <c r="K417">
        <v>0.1111756414175034</v>
      </c>
      <c r="L417" s="2">
        <f t="shared" si="17"/>
        <v>2.1475941196971027</v>
      </c>
      <c r="N417">
        <v>74.320831298828125</v>
      </c>
      <c r="O417">
        <v>547.7535400390625</v>
      </c>
      <c r="P417" s="2">
        <f t="shared" si="15"/>
        <v>-1.1069014163422206</v>
      </c>
      <c r="Q417" s="2">
        <f t="shared" si="16"/>
        <v>-0.27724991292143886</v>
      </c>
    </row>
    <row r="418" spans="1:17" x14ac:dyDescent="0.45">
      <c r="A418" t="s">
        <v>439</v>
      </c>
      <c r="B418">
        <v>57.9</v>
      </c>
      <c r="C418">
        <v>112.3</v>
      </c>
      <c r="D418">
        <v>1.2728E-2</v>
      </c>
      <c r="E418">
        <v>25.36</v>
      </c>
      <c r="F418">
        <v>1</v>
      </c>
      <c r="G418">
        <v>7.1009404957294395E-2</v>
      </c>
      <c r="H418">
        <v>530.50372650698102</v>
      </c>
      <c r="I418">
        <v>52.560185517383502</v>
      </c>
      <c r="K418">
        <v>7.3932521045207977E-2</v>
      </c>
      <c r="L418" s="2">
        <f t="shared" si="17"/>
        <v>4.1165196211284503</v>
      </c>
      <c r="N418">
        <v>52.908802032470703</v>
      </c>
      <c r="O418">
        <v>531.21392822265625</v>
      </c>
      <c r="P418" s="2">
        <f t="shared" si="15"/>
        <v>0.66327108942928181</v>
      </c>
      <c r="Q418" s="2">
        <f t="shared" si="16"/>
        <v>0.13387308706603018</v>
      </c>
    </row>
    <row r="419" spans="1:17" x14ac:dyDescent="0.45">
      <c r="A419" t="s">
        <v>440</v>
      </c>
      <c r="B419">
        <v>71.599999999999994</v>
      </c>
      <c r="C419">
        <v>122.2</v>
      </c>
      <c r="D419">
        <v>1.8471999999999999E-2</v>
      </c>
      <c r="E419">
        <v>30.01</v>
      </c>
      <c r="F419">
        <v>1</v>
      </c>
      <c r="G419">
        <v>8.3525009453296606E-2</v>
      </c>
      <c r="H419">
        <v>562.03710697568897</v>
      </c>
      <c r="I419">
        <v>68.458728960750406</v>
      </c>
      <c r="K419">
        <v>8.7822750210762024E-2</v>
      </c>
      <c r="L419" s="2">
        <f t="shared" si="17"/>
        <v>5.1454537815628978</v>
      </c>
      <c r="N419">
        <v>68.306251525878906</v>
      </c>
      <c r="O419">
        <v>553.60186767578125</v>
      </c>
      <c r="P419" s="2">
        <f t="shared" si="15"/>
        <v>-0.22272898896343826</v>
      </c>
      <c r="Q419" s="2">
        <f t="shared" si="16"/>
        <v>-1.5008331647882796</v>
      </c>
    </row>
    <row r="420" spans="1:17" x14ac:dyDescent="0.45">
      <c r="A420" t="s">
        <v>441</v>
      </c>
      <c r="B420">
        <v>77.900000000000006</v>
      </c>
      <c r="C420">
        <v>124</v>
      </c>
      <c r="D420">
        <v>1.7531000000000001E-2</v>
      </c>
      <c r="E420">
        <v>24.81</v>
      </c>
      <c r="F420">
        <v>1</v>
      </c>
      <c r="G420">
        <v>8.0148726701736395E-2</v>
      </c>
      <c r="H420">
        <v>531.71747553178102</v>
      </c>
      <c r="I420">
        <v>77.522270899196599</v>
      </c>
      <c r="K420">
        <v>8.7627515196800232E-2</v>
      </c>
      <c r="L420" s="2">
        <f t="shared" si="17"/>
        <v>9.3311382511355756</v>
      </c>
      <c r="N420">
        <v>76.912094116210938</v>
      </c>
      <c r="O420">
        <v>524.53790283203125</v>
      </c>
      <c r="P420" s="2">
        <f t="shared" si="15"/>
        <v>-0.78709869552077949</v>
      </c>
      <c r="Q420" s="2">
        <f t="shared" si="16"/>
        <v>-1.3502608114524239</v>
      </c>
    </row>
    <row r="421" spans="1:17" x14ac:dyDescent="0.45">
      <c r="A421" t="s">
        <v>442</v>
      </c>
      <c r="B421">
        <v>73.400000000000006</v>
      </c>
      <c r="C421">
        <v>127.3</v>
      </c>
      <c r="D421">
        <v>1.5647999999999999E-2</v>
      </c>
      <c r="E421">
        <v>24.76</v>
      </c>
      <c r="F421">
        <v>1</v>
      </c>
      <c r="G421">
        <v>6.9725655019283295E-2</v>
      </c>
      <c r="H421">
        <v>533.24969494462096</v>
      </c>
      <c r="I421">
        <v>70.346990500931895</v>
      </c>
      <c r="K421">
        <v>7.5925484299659729E-2</v>
      </c>
      <c r="L421" s="2">
        <f t="shared" si="17"/>
        <v>8.8917476338684995</v>
      </c>
      <c r="N421">
        <v>70.54888916015625</v>
      </c>
      <c r="O421">
        <v>526.62847900390625</v>
      </c>
      <c r="P421" s="2">
        <f t="shared" si="15"/>
        <v>0.28700397527550298</v>
      </c>
      <c r="Q421" s="2">
        <f t="shared" si="16"/>
        <v>-1.2416727104555272</v>
      </c>
    </row>
    <row r="422" spans="1:17" x14ac:dyDescent="0.45">
      <c r="A422" t="s">
        <v>443</v>
      </c>
      <c r="B422">
        <v>87.8</v>
      </c>
      <c r="C422">
        <v>130</v>
      </c>
      <c r="D422">
        <v>2.0500999999999998E-2</v>
      </c>
      <c r="E422">
        <v>26.79</v>
      </c>
      <c r="F422">
        <v>1</v>
      </c>
      <c r="G422">
        <v>8.9200511574745095E-2</v>
      </c>
      <c r="H422">
        <v>547.168291801603</v>
      </c>
      <c r="I422">
        <v>86.392489948684798</v>
      </c>
      <c r="K422">
        <v>9.6399717032909393E-2</v>
      </c>
      <c r="L422" s="2">
        <f t="shared" si="17"/>
        <v>8.0708118496963586</v>
      </c>
      <c r="N422">
        <v>86.705848693847656</v>
      </c>
      <c r="O422">
        <v>533.01873779296875</v>
      </c>
      <c r="P422" s="2">
        <f t="shared" si="15"/>
        <v>0.36271526072345717</v>
      </c>
      <c r="Q422" s="2">
        <f t="shared" si="16"/>
        <v>-2.5859601553382268</v>
      </c>
    </row>
    <row r="423" spans="1:17" x14ac:dyDescent="0.45">
      <c r="A423" t="s">
        <v>444</v>
      </c>
      <c r="B423">
        <v>46</v>
      </c>
      <c r="C423">
        <v>108</v>
      </c>
      <c r="D423">
        <v>7.417E-3</v>
      </c>
      <c r="E423">
        <v>20</v>
      </c>
      <c r="F423">
        <v>1</v>
      </c>
      <c r="G423">
        <v>4.89349365234375E-2</v>
      </c>
      <c r="H423">
        <v>497.28626945821702</v>
      </c>
      <c r="I423">
        <v>37.725405712292698</v>
      </c>
      <c r="K423">
        <v>5.1920589059591293E-2</v>
      </c>
      <c r="L423" s="2">
        <f t="shared" si="17"/>
        <v>6.1012698662106333</v>
      </c>
      <c r="N423">
        <v>35.522045135498047</v>
      </c>
      <c r="O423">
        <v>494.69342041015619</v>
      </c>
      <c r="P423" s="2">
        <f t="shared" si="15"/>
        <v>-5.8405218849023361</v>
      </c>
      <c r="Q423" s="2">
        <f t="shared" si="16"/>
        <v>-0.52139968611755205</v>
      </c>
    </row>
    <row r="424" spans="1:17" x14ac:dyDescent="0.45">
      <c r="A424" t="s">
        <v>445</v>
      </c>
      <c r="B424">
        <v>75.8</v>
      </c>
      <c r="C424">
        <v>110.4</v>
      </c>
      <c r="D424">
        <v>2.4688999999999999E-2</v>
      </c>
      <c r="E424">
        <v>35</v>
      </c>
      <c r="F424">
        <v>1</v>
      </c>
      <c r="G424">
        <v>0.13974952697753901</v>
      </c>
      <c r="H424">
        <v>587.84256117309098</v>
      </c>
      <c r="I424">
        <v>77.260730620700201</v>
      </c>
      <c r="K424">
        <v>0.1472513526678085</v>
      </c>
      <c r="L424" s="2">
        <f t="shared" si="17"/>
        <v>5.3680508639397511</v>
      </c>
      <c r="N424">
        <v>78.259017944335938</v>
      </c>
      <c r="O424">
        <v>588.00897216796875</v>
      </c>
      <c r="P424" s="2">
        <f t="shared" si="15"/>
        <v>1.2921018421851018</v>
      </c>
      <c r="Q424" s="2">
        <f t="shared" si="16"/>
        <v>2.8308769366014837E-2</v>
      </c>
    </row>
    <row r="425" spans="1:17" x14ac:dyDescent="0.45">
      <c r="A425" t="s">
        <v>446</v>
      </c>
      <c r="B425">
        <v>47</v>
      </c>
      <c r="C425">
        <v>130</v>
      </c>
      <c r="D425">
        <v>8.9890000000000005E-3</v>
      </c>
      <c r="E425">
        <v>30.29</v>
      </c>
      <c r="F425">
        <v>1</v>
      </c>
      <c r="G425">
        <v>3.8434065878391203E-2</v>
      </c>
      <c r="H425">
        <v>568.168291801603</v>
      </c>
      <c r="I425">
        <v>33.585619005375698</v>
      </c>
      <c r="K425">
        <v>4.2888123542070389E-2</v>
      </c>
      <c r="L425" s="2">
        <f t="shared" si="17"/>
        <v>11.588827676395777</v>
      </c>
      <c r="N425">
        <v>32.63385009765625</v>
      </c>
      <c r="O425">
        <v>559.9091796875</v>
      </c>
      <c r="P425" s="2">
        <f t="shared" si="15"/>
        <v>-2.8338584665273192</v>
      </c>
      <c r="Q425" s="2">
        <f t="shared" si="16"/>
        <v>-1.4536383380202742</v>
      </c>
    </row>
    <row r="426" spans="1:17" x14ac:dyDescent="0.45">
      <c r="A426" t="s">
        <v>447</v>
      </c>
      <c r="B426">
        <v>73.2</v>
      </c>
      <c r="C426">
        <v>130</v>
      </c>
      <c r="D426">
        <v>1.5775999999999998E-2</v>
      </c>
      <c r="E426">
        <v>26.13</v>
      </c>
      <c r="F426">
        <v>1</v>
      </c>
      <c r="G426">
        <v>6.8911917507648399E-2</v>
      </c>
      <c r="H426">
        <v>543.20829180160297</v>
      </c>
      <c r="I426">
        <v>68.150784568863898</v>
      </c>
      <c r="K426">
        <v>7.7642552554607391E-2</v>
      </c>
      <c r="L426" s="2">
        <f t="shared" si="17"/>
        <v>12.669267323739753</v>
      </c>
      <c r="N426">
        <v>68.298324584960938</v>
      </c>
      <c r="O426">
        <v>535.08978271484375</v>
      </c>
      <c r="P426" s="2">
        <f t="shared" ref="P426:P457" si="18">(N426-I426)/I426*100</f>
        <v>0.21649056137857908</v>
      </c>
      <c r="Q426" s="2">
        <f t="shared" ref="Q426:Q457" si="19">(O426-H426)/H426*100</f>
        <v>-1.4945480783869103</v>
      </c>
    </row>
    <row r="427" spans="1:17" x14ac:dyDescent="0.45">
      <c r="A427" t="s">
        <v>448</v>
      </c>
      <c r="B427">
        <v>65</v>
      </c>
      <c r="C427">
        <v>100</v>
      </c>
      <c r="D427">
        <v>1.7646999999999999E-2</v>
      </c>
      <c r="E427">
        <v>28.84</v>
      </c>
      <c r="F427">
        <v>1</v>
      </c>
      <c r="G427">
        <v>0.17421877384185699</v>
      </c>
      <c r="H427">
        <v>549.02898741352794</v>
      </c>
      <c r="I427">
        <v>65.791667189153003</v>
      </c>
      <c r="K427">
        <v>0.1552504897117615</v>
      </c>
      <c r="L427" s="2">
        <f t="shared" si="17"/>
        <v>-10.887623481562041</v>
      </c>
      <c r="N427">
        <v>69.44970703125</v>
      </c>
      <c r="O427">
        <v>552.1875</v>
      </c>
      <c r="P427" s="2">
        <f t="shared" si="18"/>
        <v>5.5600351813247473</v>
      </c>
      <c r="Q427" s="2">
        <f t="shared" si="19"/>
        <v>0.57529067843062154</v>
      </c>
    </row>
    <row r="428" spans="1:17" x14ac:dyDescent="0.45">
      <c r="A428" t="s">
        <v>449</v>
      </c>
      <c r="B428">
        <v>41.2</v>
      </c>
      <c r="C428">
        <v>111</v>
      </c>
      <c r="D428">
        <v>6.2500000000000003E-3</v>
      </c>
      <c r="E428">
        <v>21.27</v>
      </c>
      <c r="F428">
        <v>1</v>
      </c>
      <c r="G428">
        <v>3.7075202912092202E-2</v>
      </c>
      <c r="H428">
        <v>505.61484915657297</v>
      </c>
      <c r="I428">
        <v>29.992872533429502</v>
      </c>
      <c r="K428">
        <v>4.2212385684251792E-2</v>
      </c>
      <c r="L428" s="2">
        <f t="shared" si="17"/>
        <v>13.856115054421133</v>
      </c>
      <c r="N428">
        <v>27.76795768737793</v>
      </c>
      <c r="O428">
        <v>502.65109252929688</v>
      </c>
      <c r="P428" s="2">
        <f t="shared" si="18"/>
        <v>-7.4181452395789131</v>
      </c>
      <c r="Q428" s="2">
        <f t="shared" si="19"/>
        <v>-0.58616882637446355</v>
      </c>
    </row>
    <row r="429" spans="1:17" x14ac:dyDescent="0.45">
      <c r="A429" t="s">
        <v>450</v>
      </c>
      <c r="B429">
        <v>79.8</v>
      </c>
      <c r="C429">
        <v>114.1</v>
      </c>
      <c r="D429">
        <v>2.5873E-2</v>
      </c>
      <c r="E429">
        <v>35</v>
      </c>
      <c r="F429">
        <v>1</v>
      </c>
      <c r="G429">
        <v>0.131847843527793</v>
      </c>
      <c r="H429">
        <v>588.87124127384004</v>
      </c>
      <c r="I429">
        <v>80.731329109698294</v>
      </c>
      <c r="K429">
        <v>0.1398259699344635</v>
      </c>
      <c r="L429" s="2">
        <f t="shared" si="17"/>
        <v>6.0510101592892171</v>
      </c>
      <c r="N429">
        <v>81.899490356445313</v>
      </c>
      <c r="O429">
        <v>586.45880126953125</v>
      </c>
      <c r="P429" s="2">
        <f t="shared" si="18"/>
        <v>1.4469738819234763</v>
      </c>
      <c r="Q429" s="2">
        <f t="shared" si="19"/>
        <v>-0.40967190027657435</v>
      </c>
    </row>
    <row r="430" spans="1:17" x14ac:dyDescent="0.45">
      <c r="A430" t="s">
        <v>451</v>
      </c>
      <c r="B430">
        <v>45.8</v>
      </c>
      <c r="C430">
        <v>127</v>
      </c>
      <c r="D430">
        <v>9.9869999999999994E-3</v>
      </c>
      <c r="E430">
        <v>35</v>
      </c>
      <c r="F430">
        <v>1</v>
      </c>
      <c r="G430">
        <v>4.2408265173435197E-2</v>
      </c>
      <c r="H430">
        <v>594.510513079264</v>
      </c>
      <c r="I430">
        <v>32.950071192301898</v>
      </c>
      <c r="K430">
        <v>5.0237495452165597E-2</v>
      </c>
      <c r="L430" s="2">
        <f t="shared" si="17"/>
        <v>18.461566976888928</v>
      </c>
      <c r="N430">
        <v>33.415172576904297</v>
      </c>
      <c r="O430">
        <v>584.7103271484375</v>
      </c>
      <c r="P430" s="2">
        <f t="shared" si="18"/>
        <v>1.4115337775387262</v>
      </c>
      <c r="Q430" s="2">
        <f t="shared" si="19"/>
        <v>-1.6484461948480089</v>
      </c>
    </row>
    <row r="431" spans="1:17" x14ac:dyDescent="0.45">
      <c r="A431" t="s">
        <v>452</v>
      </c>
      <c r="B431">
        <v>82.4</v>
      </c>
      <c r="C431">
        <v>115.4</v>
      </c>
      <c r="D431">
        <v>2.0292000000000001E-2</v>
      </c>
      <c r="E431">
        <v>24.95</v>
      </c>
      <c r="F431">
        <v>1</v>
      </c>
      <c r="G431">
        <v>0.105342231690883</v>
      </c>
      <c r="H431">
        <v>528.98594146113805</v>
      </c>
      <c r="I431">
        <v>85.620258295320994</v>
      </c>
      <c r="K431">
        <v>0.1035518571734428</v>
      </c>
      <c r="L431" s="2">
        <f t="shared" si="17"/>
        <v>-1.6995790659665222</v>
      </c>
      <c r="N431">
        <v>88.338722229003906</v>
      </c>
      <c r="O431">
        <v>526.29949951171875</v>
      </c>
      <c r="P431" s="2">
        <f t="shared" si="18"/>
        <v>3.1750242148375669</v>
      </c>
      <c r="Q431" s="2">
        <f t="shared" si="19"/>
        <v>-0.50784751330043876</v>
      </c>
    </row>
    <row r="432" spans="1:17" x14ac:dyDescent="0.45">
      <c r="A432" t="s">
        <v>453</v>
      </c>
      <c r="B432">
        <v>83.8</v>
      </c>
      <c r="C432">
        <v>130</v>
      </c>
      <c r="D432">
        <v>1.6847999999999998E-2</v>
      </c>
      <c r="E432">
        <v>22.41</v>
      </c>
      <c r="F432">
        <v>1</v>
      </c>
      <c r="G432">
        <v>7.5309723615646307E-2</v>
      </c>
      <c r="H432">
        <v>520.88829180160201</v>
      </c>
      <c r="I432">
        <v>83.444858042079701</v>
      </c>
      <c r="K432">
        <v>8.3300769329071045E-2</v>
      </c>
      <c r="L432" s="2">
        <f t="shared" si="17"/>
        <v>10.610908299449028</v>
      </c>
      <c r="N432">
        <v>83.704574584960938</v>
      </c>
      <c r="O432">
        <v>506.64651489257813</v>
      </c>
      <c r="P432" s="2">
        <f t="shared" si="18"/>
        <v>0.31124331561600327</v>
      </c>
      <c r="Q432" s="2">
        <f t="shared" si="19"/>
        <v>-2.734132660145939</v>
      </c>
    </row>
    <row r="433" spans="1:17" x14ac:dyDescent="0.45">
      <c r="A433" t="s">
        <v>454</v>
      </c>
      <c r="B433">
        <v>40.4</v>
      </c>
      <c r="C433">
        <v>126.4</v>
      </c>
      <c r="D433">
        <v>7.9489999999999995E-3</v>
      </c>
      <c r="E433">
        <v>35</v>
      </c>
      <c r="F433">
        <v>1.32</v>
      </c>
      <c r="G433">
        <v>3.3933974802494001E-2</v>
      </c>
      <c r="H433">
        <v>666.13084272095898</v>
      </c>
      <c r="I433">
        <v>27.9400825733942</v>
      </c>
      <c r="K433">
        <v>2.4983640760183331E-2</v>
      </c>
      <c r="L433" s="2">
        <f t="shared" ref="L433:L457" si="20">(K433-G433)/G433*100</f>
        <v>-26.375731385445771</v>
      </c>
      <c r="N433">
        <v>27.20140266418457</v>
      </c>
      <c r="O433">
        <v>656.36865234375</v>
      </c>
      <c r="P433" s="2">
        <f t="shared" si="18"/>
        <v>-2.6438000219549593</v>
      </c>
      <c r="Q433" s="2">
        <f t="shared" si="19"/>
        <v>-1.4655064367434409</v>
      </c>
    </row>
    <row r="434" spans="1:17" x14ac:dyDescent="0.45">
      <c r="A434" t="s">
        <v>455</v>
      </c>
      <c r="B434">
        <v>53.3</v>
      </c>
      <c r="C434">
        <v>118.5</v>
      </c>
      <c r="D434">
        <v>1.3138E-2</v>
      </c>
      <c r="E434">
        <v>32.56</v>
      </c>
      <c r="F434">
        <v>1</v>
      </c>
      <c r="G434">
        <v>6.1848893761634799E-2</v>
      </c>
      <c r="H434">
        <v>575.75778390802498</v>
      </c>
      <c r="I434">
        <v>44.467099910623098</v>
      </c>
      <c r="K434">
        <v>6.8409726023674011E-2</v>
      </c>
      <c r="L434" s="2">
        <f t="shared" si="20"/>
        <v>10.607840921657569</v>
      </c>
      <c r="N434">
        <v>46.092613220214837</v>
      </c>
      <c r="O434">
        <v>570.5380859375</v>
      </c>
      <c r="P434" s="2">
        <f t="shared" si="18"/>
        <v>3.6555415416317869</v>
      </c>
      <c r="Q434" s="2">
        <f t="shared" si="19"/>
        <v>-0.90657879344603043</v>
      </c>
    </row>
    <row r="435" spans="1:17" x14ac:dyDescent="0.45">
      <c r="A435" t="s">
        <v>456</v>
      </c>
      <c r="B435">
        <v>81.900000000000006</v>
      </c>
      <c r="C435">
        <v>125.1</v>
      </c>
      <c r="D435">
        <v>1.7089E-2</v>
      </c>
      <c r="E435">
        <v>22.26</v>
      </c>
      <c r="F435">
        <v>1</v>
      </c>
      <c r="G435">
        <v>7.8672431409358895E-2</v>
      </c>
      <c r="H435">
        <v>516.99535576073902</v>
      </c>
      <c r="I435">
        <v>82.994054492161098</v>
      </c>
      <c r="K435">
        <v>8.5697516798973083E-2</v>
      </c>
      <c r="L435" s="2">
        <f t="shared" si="20"/>
        <v>8.9295389296668954</v>
      </c>
      <c r="N435">
        <v>84.338165283203125</v>
      </c>
      <c r="O435">
        <v>505.41650390625</v>
      </c>
      <c r="P435" s="2">
        <f t="shared" si="18"/>
        <v>1.6195266025579944</v>
      </c>
      <c r="Q435" s="2">
        <f t="shared" si="19"/>
        <v>-2.2396433015246675</v>
      </c>
    </row>
    <row r="436" spans="1:17" x14ac:dyDescent="0.45">
      <c r="A436" t="s">
        <v>457</v>
      </c>
      <c r="B436">
        <v>84</v>
      </c>
      <c r="C436">
        <v>108.2</v>
      </c>
      <c r="D436">
        <v>2.8632999999999999E-2</v>
      </c>
      <c r="E436">
        <v>35</v>
      </c>
      <c r="F436">
        <v>1.1100000000000001</v>
      </c>
      <c r="G436">
        <v>0.17535248398780801</v>
      </c>
      <c r="H436">
        <v>611.81899566573804</v>
      </c>
      <c r="I436">
        <v>90.030547292471994</v>
      </c>
      <c r="K436">
        <v>0.18996331095695501</v>
      </c>
      <c r="L436" s="2">
        <f t="shared" si="20"/>
        <v>8.3322611900740871</v>
      </c>
      <c r="N436">
        <v>92.840225219726563</v>
      </c>
      <c r="O436">
        <v>612.3592529296875</v>
      </c>
      <c r="P436" s="2">
        <f t="shared" si="18"/>
        <v>3.1208051175420359</v>
      </c>
      <c r="Q436" s="2">
        <f t="shared" si="19"/>
        <v>8.8303447224875209E-2</v>
      </c>
    </row>
    <row r="437" spans="1:17" x14ac:dyDescent="0.45">
      <c r="A437" t="s">
        <v>458</v>
      </c>
      <c r="B437">
        <v>52.7</v>
      </c>
      <c r="C437">
        <v>109.9</v>
      </c>
      <c r="D437">
        <v>1.4507000000000001E-2</v>
      </c>
      <c r="E437">
        <v>35</v>
      </c>
      <c r="F437">
        <v>1</v>
      </c>
      <c r="G437">
        <v>8.3504416048526695E-2</v>
      </c>
      <c r="H437">
        <v>587.71976633225995</v>
      </c>
      <c r="I437">
        <v>45.140776750779899</v>
      </c>
      <c r="K437">
        <v>8.9894384145736694E-2</v>
      </c>
      <c r="L437" s="2">
        <f t="shared" si="20"/>
        <v>7.6522517006724717</v>
      </c>
      <c r="N437">
        <v>44.130367279052727</v>
      </c>
      <c r="O437">
        <v>590.077880859375</v>
      </c>
      <c r="P437" s="2">
        <f t="shared" si="18"/>
        <v>-2.2383519834086933</v>
      </c>
      <c r="Q437" s="2">
        <f t="shared" si="19"/>
        <v>0.40123110744278062</v>
      </c>
    </row>
    <row r="438" spans="1:17" x14ac:dyDescent="0.45">
      <c r="A438" t="s">
        <v>459</v>
      </c>
      <c r="B438">
        <v>45.2</v>
      </c>
      <c r="C438">
        <v>130</v>
      </c>
      <c r="D438">
        <v>8.3289999999999996E-3</v>
      </c>
      <c r="E438">
        <v>30.02</v>
      </c>
      <c r="F438">
        <v>1</v>
      </c>
      <c r="G438">
        <v>3.5663753747940001E-2</v>
      </c>
      <c r="H438">
        <v>566.54829180160198</v>
      </c>
      <c r="I438">
        <v>31.602134387051201</v>
      </c>
      <c r="K438">
        <v>3.8924571126699448E-2</v>
      </c>
      <c r="L438" s="2">
        <f t="shared" si="20"/>
        <v>9.1432253649065114</v>
      </c>
      <c r="N438">
        <v>30.503973007202148</v>
      </c>
      <c r="O438">
        <v>559.384033203125</v>
      </c>
      <c r="P438" s="2">
        <f t="shared" si="18"/>
        <v>-3.4749595277305643</v>
      </c>
      <c r="Q438" s="2">
        <f t="shared" si="19"/>
        <v>-1.2645450885916376</v>
      </c>
    </row>
    <row r="439" spans="1:17" x14ac:dyDescent="0.45">
      <c r="A439" t="s">
        <v>460</v>
      </c>
      <c r="B439">
        <v>71.900000000000006</v>
      </c>
      <c r="C439">
        <v>130</v>
      </c>
      <c r="D439">
        <v>1.4892000000000001E-2</v>
      </c>
      <c r="E439">
        <v>25.02</v>
      </c>
      <c r="F439">
        <v>1</v>
      </c>
      <c r="G439">
        <v>6.5448075532913194E-2</v>
      </c>
      <c r="H439">
        <v>536.54829180160198</v>
      </c>
      <c r="I439">
        <v>67.157359900282501</v>
      </c>
      <c r="K439">
        <v>7.2450339794158936E-2</v>
      </c>
      <c r="L439" s="2">
        <f t="shared" si="20"/>
        <v>10.698961282252482</v>
      </c>
      <c r="N439">
        <v>67.450721740722656</v>
      </c>
      <c r="O439">
        <v>529.69964599609375</v>
      </c>
      <c r="P439" s="2">
        <f t="shared" si="18"/>
        <v>0.43682753591825108</v>
      </c>
      <c r="Q439" s="2">
        <f t="shared" si="19"/>
        <v>-1.2764267280605996</v>
      </c>
    </row>
    <row r="440" spans="1:17" x14ac:dyDescent="0.45">
      <c r="A440" t="s">
        <v>461</v>
      </c>
      <c r="B440">
        <v>62.2</v>
      </c>
      <c r="C440">
        <v>130</v>
      </c>
      <c r="D440">
        <v>1.4881999999999999E-2</v>
      </c>
      <c r="E440">
        <v>32.549999999999997</v>
      </c>
      <c r="F440">
        <v>1.1499999999999999</v>
      </c>
      <c r="G440">
        <v>6.3063971698284094E-2</v>
      </c>
      <c r="H440">
        <v>613.37302492240099</v>
      </c>
      <c r="I440">
        <v>54.192178759083902</v>
      </c>
      <c r="K440">
        <v>6.7554406821727753E-2</v>
      </c>
      <c r="L440" s="2">
        <f t="shared" si="20"/>
        <v>7.1204445304002935</v>
      </c>
      <c r="N440">
        <v>56.497776031494141</v>
      </c>
      <c r="O440">
        <v>603.8599853515625</v>
      </c>
      <c r="P440" s="2">
        <f t="shared" si="18"/>
        <v>4.2544834424538909</v>
      </c>
      <c r="Q440" s="2">
        <f t="shared" si="19"/>
        <v>-1.550938692167299</v>
      </c>
    </row>
    <row r="441" spans="1:17" x14ac:dyDescent="0.45">
      <c r="A441" t="s">
        <v>462</v>
      </c>
      <c r="B441">
        <v>75</v>
      </c>
      <c r="C441">
        <v>114</v>
      </c>
      <c r="D441">
        <v>2.0777E-2</v>
      </c>
      <c r="E441">
        <v>29.71</v>
      </c>
      <c r="F441">
        <v>1</v>
      </c>
      <c r="G441">
        <v>0.108516111969947</v>
      </c>
      <c r="H441">
        <v>557.100535411858</v>
      </c>
      <c r="I441">
        <v>75.255341620098207</v>
      </c>
      <c r="K441">
        <v>0.1120411977171898</v>
      </c>
      <c r="L441" s="2">
        <f t="shared" si="20"/>
        <v>3.2484445703501263</v>
      </c>
      <c r="N441">
        <v>73.745742797851563</v>
      </c>
      <c r="O441">
        <v>558.81298828125</v>
      </c>
      <c r="P441" s="2">
        <f t="shared" si="18"/>
        <v>-2.0059689980112729</v>
      </c>
      <c r="Q441" s="2">
        <f t="shared" si="19"/>
        <v>0.30738668526426721</v>
      </c>
    </row>
    <row r="442" spans="1:17" x14ac:dyDescent="0.45">
      <c r="A442" t="s">
        <v>463</v>
      </c>
      <c r="B442">
        <v>41.7</v>
      </c>
      <c r="C442">
        <v>115.1</v>
      </c>
      <c r="D442">
        <v>5.9639999999999997E-3</v>
      </c>
      <c r="E442">
        <v>20</v>
      </c>
      <c r="F442">
        <v>1</v>
      </c>
      <c r="G442">
        <v>3.2233510166406597E-2</v>
      </c>
      <c r="H442">
        <v>499.18764922301898</v>
      </c>
      <c r="I442">
        <v>30.736361736550698</v>
      </c>
      <c r="K442">
        <v>3.1826086342334747E-2</v>
      </c>
      <c r="L442" s="2">
        <f t="shared" si="20"/>
        <v>-1.2639759739740104</v>
      </c>
      <c r="N442">
        <v>27.550336837768551</v>
      </c>
      <c r="O442">
        <v>495.70999145507813</v>
      </c>
      <c r="P442" s="2">
        <f t="shared" si="18"/>
        <v>-10.365653964156168</v>
      </c>
      <c r="Q442" s="2">
        <f t="shared" si="19"/>
        <v>-0.69666342373530221</v>
      </c>
    </row>
    <row r="443" spans="1:17" x14ac:dyDescent="0.45">
      <c r="A443" t="s">
        <v>464</v>
      </c>
      <c r="B443">
        <v>82.4</v>
      </c>
      <c r="C443">
        <v>112</v>
      </c>
      <c r="D443">
        <v>2.3238999999999999E-2</v>
      </c>
      <c r="E443">
        <v>28.75</v>
      </c>
      <c r="F443">
        <v>1.1399999999999999</v>
      </c>
      <c r="G443">
        <v>0.12834197282791099</v>
      </c>
      <c r="H443">
        <v>576.72281848973205</v>
      </c>
      <c r="I443">
        <v>88.544479938923402</v>
      </c>
      <c r="K443">
        <v>0.1298209726810455</v>
      </c>
      <c r="L443" s="2">
        <f t="shared" si="20"/>
        <v>1.1523898382937066</v>
      </c>
      <c r="N443">
        <v>87.013519287109375</v>
      </c>
      <c r="O443">
        <v>567.69635009765625</v>
      </c>
      <c r="P443" s="2">
        <f t="shared" si="18"/>
        <v>-1.7290300342495204</v>
      </c>
      <c r="Q443" s="2">
        <f t="shared" si="19"/>
        <v>-1.5651311345220349</v>
      </c>
    </row>
    <row r="444" spans="1:17" x14ac:dyDescent="0.45">
      <c r="A444" t="s">
        <v>465</v>
      </c>
      <c r="B444">
        <v>88.3</v>
      </c>
      <c r="C444">
        <v>103.9</v>
      </c>
      <c r="D444">
        <v>3.0210999999999998E-2</v>
      </c>
      <c r="E444">
        <v>33.79</v>
      </c>
      <c r="F444">
        <v>1</v>
      </c>
      <c r="G444">
        <v>0.22746229171752899</v>
      </c>
      <c r="H444">
        <v>579.25963820818697</v>
      </c>
      <c r="I444">
        <v>96.322617754674894</v>
      </c>
      <c r="K444">
        <v>0.229754313826561</v>
      </c>
      <c r="L444" s="2">
        <f t="shared" si="20"/>
        <v>1.0076492642913875</v>
      </c>
      <c r="N444">
        <v>99.890487670898438</v>
      </c>
      <c r="O444">
        <v>585.03143310546875</v>
      </c>
      <c r="P444" s="2">
        <f t="shared" si="18"/>
        <v>3.7040832147134841</v>
      </c>
      <c r="Q444" s="2">
        <f t="shared" si="19"/>
        <v>0.99640895318299139</v>
      </c>
    </row>
    <row r="445" spans="1:17" x14ac:dyDescent="0.45">
      <c r="A445" t="s">
        <v>466</v>
      </c>
      <c r="B445">
        <v>83</v>
      </c>
      <c r="C445">
        <v>115.3</v>
      </c>
      <c r="D445">
        <v>2.6238999999999998E-2</v>
      </c>
      <c r="E445">
        <v>33.78</v>
      </c>
      <c r="F445">
        <v>1</v>
      </c>
      <c r="G445">
        <v>0.13069462776183999</v>
      </c>
      <c r="H445">
        <v>581.933002089502</v>
      </c>
      <c r="I445">
        <v>85.464227197145803</v>
      </c>
      <c r="K445">
        <v>0.140965461730957</v>
      </c>
      <c r="L445" s="2">
        <f t="shared" si="20"/>
        <v>7.8586504625371285</v>
      </c>
      <c r="N445">
        <v>84.955947875976563</v>
      </c>
      <c r="O445">
        <v>582.99383544921875</v>
      </c>
      <c r="P445" s="2">
        <f t="shared" si="18"/>
        <v>-0.59472756946220318</v>
      </c>
      <c r="Q445" s="2">
        <f t="shared" si="19"/>
        <v>0.18229475831542469</v>
      </c>
    </row>
    <row r="446" spans="1:17" x14ac:dyDescent="0.45">
      <c r="A446" t="s">
        <v>467</v>
      </c>
      <c r="B446">
        <v>51.2</v>
      </c>
      <c r="C446">
        <v>115.5</v>
      </c>
      <c r="D446">
        <v>1.0047E-2</v>
      </c>
      <c r="E446">
        <v>24.66</v>
      </c>
      <c r="F446">
        <v>1</v>
      </c>
      <c r="G446">
        <v>5.2136078476905802E-2</v>
      </c>
      <c r="H446">
        <v>527.27905697260906</v>
      </c>
      <c r="I446">
        <v>43.133973184282503</v>
      </c>
      <c r="K446">
        <v>5.7557132095098502E-2</v>
      </c>
      <c r="L446" s="2">
        <f t="shared" si="20"/>
        <v>10.397892930504948</v>
      </c>
      <c r="N446">
        <v>42.334743499755859</v>
      </c>
      <c r="O446">
        <v>522.1334228515625</v>
      </c>
      <c r="P446" s="2">
        <f t="shared" si="18"/>
        <v>-1.8529006848315872</v>
      </c>
      <c r="Q446" s="2">
        <f t="shared" si="19"/>
        <v>-0.97588441130023096</v>
      </c>
    </row>
    <row r="447" spans="1:17" x14ac:dyDescent="0.45">
      <c r="A447" t="s">
        <v>468</v>
      </c>
      <c r="B447">
        <v>47.6</v>
      </c>
      <c r="C447">
        <v>112.7</v>
      </c>
      <c r="D447">
        <v>8.1960000000000002E-3</v>
      </c>
      <c r="E447">
        <v>21.72</v>
      </c>
      <c r="F447">
        <v>1</v>
      </c>
      <c r="G447">
        <v>4.6236570924520402E-2</v>
      </c>
      <c r="H447">
        <v>508.776408403056</v>
      </c>
      <c r="I447">
        <v>38.787267685704201</v>
      </c>
      <c r="K447">
        <v>4.7679565846920013E-2</v>
      </c>
      <c r="L447" s="2">
        <f t="shared" si="20"/>
        <v>3.1208951995061445</v>
      </c>
      <c r="N447">
        <v>35.067111968994141</v>
      </c>
      <c r="O447">
        <v>505.33944702148438</v>
      </c>
      <c r="P447" s="2">
        <f t="shared" si="18"/>
        <v>-9.5911775659340801</v>
      </c>
      <c r="Q447" s="2">
        <f t="shared" si="19"/>
        <v>-0.67553473879803749</v>
      </c>
    </row>
    <row r="448" spans="1:17" x14ac:dyDescent="0.45">
      <c r="A448" t="s">
        <v>469</v>
      </c>
      <c r="B448">
        <v>72.2</v>
      </c>
      <c r="C448">
        <v>106.4</v>
      </c>
      <c r="D448">
        <v>2.3549E-2</v>
      </c>
      <c r="E448">
        <v>35</v>
      </c>
      <c r="F448">
        <v>1</v>
      </c>
      <c r="G448">
        <v>0.15571512281894601</v>
      </c>
      <c r="H448">
        <v>586.96044641888602</v>
      </c>
      <c r="I448">
        <v>73.212402871274307</v>
      </c>
      <c r="K448">
        <v>0.15947046875953669</v>
      </c>
      <c r="L448" s="2">
        <f t="shared" si="20"/>
        <v>2.4116770886518966</v>
      </c>
      <c r="N448">
        <v>75.032524108886719</v>
      </c>
      <c r="O448">
        <v>585.5013427734375</v>
      </c>
      <c r="P448" s="2">
        <f t="shared" si="18"/>
        <v>2.4860831856763936</v>
      </c>
      <c r="Q448" s="2">
        <f t="shared" si="19"/>
        <v>-0.24858636631321296</v>
      </c>
    </row>
    <row r="449" spans="1:19" x14ac:dyDescent="0.45">
      <c r="A449" t="s">
        <v>470</v>
      </c>
      <c r="B449">
        <v>77.599999999999994</v>
      </c>
      <c r="C449">
        <v>100</v>
      </c>
      <c r="D449">
        <v>2.6572999999999999E-2</v>
      </c>
      <c r="E449">
        <v>35</v>
      </c>
      <c r="F449">
        <v>1.1100000000000001</v>
      </c>
      <c r="G449">
        <v>0.25909888744354198</v>
      </c>
      <c r="H449">
        <v>610.42935054121699</v>
      </c>
      <c r="I449">
        <v>84.896037537998197</v>
      </c>
      <c r="K449">
        <v>0.2324533015489578</v>
      </c>
      <c r="L449" s="2">
        <f t="shared" si="20"/>
        <v>-10.283944542367166</v>
      </c>
      <c r="N449">
        <v>88.873176574707031</v>
      </c>
      <c r="O449">
        <v>613.1903076171875</v>
      </c>
      <c r="P449" s="2">
        <f t="shared" si="18"/>
        <v>4.6847169220692146</v>
      </c>
      <c r="Q449" s="2">
        <f t="shared" si="19"/>
        <v>0.45229756294034651</v>
      </c>
    </row>
    <row r="450" spans="1:19" x14ac:dyDescent="0.45">
      <c r="A450" t="s">
        <v>471</v>
      </c>
      <c r="B450">
        <v>55.6</v>
      </c>
      <c r="C450">
        <v>130</v>
      </c>
      <c r="D450">
        <v>9.8510000000000004E-3</v>
      </c>
      <c r="E450">
        <v>23.85</v>
      </c>
      <c r="F450">
        <v>1</v>
      </c>
      <c r="G450">
        <v>4.3604452162980999E-2</v>
      </c>
      <c r="H450">
        <v>529.52829180160199</v>
      </c>
      <c r="I450">
        <v>46.111308314116101</v>
      </c>
      <c r="K450">
        <v>4.7169189900159843E-2</v>
      </c>
      <c r="L450" s="2">
        <f t="shared" si="20"/>
        <v>8.175169186519927</v>
      </c>
      <c r="N450">
        <v>47.909111022949219</v>
      </c>
      <c r="O450">
        <v>519.1612548828125</v>
      </c>
      <c r="P450" s="2">
        <f t="shared" si="18"/>
        <v>3.8988325739670113</v>
      </c>
      <c r="Q450" s="2">
        <f t="shared" si="19"/>
        <v>-1.9577871625174099</v>
      </c>
    </row>
    <row r="451" spans="1:19" x14ac:dyDescent="0.45">
      <c r="A451" t="s">
        <v>472</v>
      </c>
      <c r="B451">
        <v>45.2</v>
      </c>
      <c r="C451">
        <v>116.8</v>
      </c>
      <c r="D451">
        <v>6.8539999999999998E-3</v>
      </c>
      <c r="E451">
        <v>20</v>
      </c>
      <c r="F451">
        <v>1</v>
      </c>
      <c r="G451">
        <v>3.5798709839582402E-2</v>
      </c>
      <c r="H451">
        <v>499.76588568613698</v>
      </c>
      <c r="I451">
        <v>35.433614309877399</v>
      </c>
      <c r="K451">
        <v>3.5481855273246772E-2</v>
      </c>
      <c r="L451" s="2">
        <f t="shared" si="20"/>
        <v>-0.88510051830215808</v>
      </c>
      <c r="N451">
        <v>32.77972412109375</v>
      </c>
      <c r="O451">
        <v>498.08712768554688</v>
      </c>
      <c r="P451" s="2">
        <f t="shared" si="18"/>
        <v>-7.4897529943589642</v>
      </c>
      <c r="Q451" s="2">
        <f t="shared" si="19"/>
        <v>-0.33590888227300919</v>
      </c>
    </row>
    <row r="452" spans="1:19" x14ac:dyDescent="0.45">
      <c r="A452" t="s">
        <v>473</v>
      </c>
      <c r="B452">
        <v>50.2</v>
      </c>
      <c r="C452">
        <v>130</v>
      </c>
      <c r="D452">
        <v>8.8690000000000001E-3</v>
      </c>
      <c r="E452">
        <v>25.8</v>
      </c>
      <c r="F452">
        <v>1</v>
      </c>
      <c r="G452">
        <v>3.8810871541500001E-2</v>
      </c>
      <c r="H452">
        <v>541.22829180160295</v>
      </c>
      <c r="I452">
        <v>38.740227926397999</v>
      </c>
      <c r="K452">
        <v>4.3311178684234619E-2</v>
      </c>
      <c r="L452" s="2">
        <f t="shared" si="20"/>
        <v>11.595480760906112</v>
      </c>
      <c r="N452">
        <v>40.2218017578125</v>
      </c>
      <c r="O452">
        <v>529.880859375</v>
      </c>
      <c r="P452" s="2">
        <f t="shared" si="18"/>
        <v>3.8243807812109973</v>
      </c>
      <c r="Q452" s="2">
        <f t="shared" si="19"/>
        <v>-2.0966074018101324</v>
      </c>
    </row>
    <row r="453" spans="1:19" x14ac:dyDescent="0.45">
      <c r="A453" t="s">
        <v>474</v>
      </c>
      <c r="B453">
        <v>63.4</v>
      </c>
      <c r="C453">
        <v>130</v>
      </c>
      <c r="D453">
        <v>1.1412E-2</v>
      </c>
      <c r="E453">
        <v>22.28</v>
      </c>
      <c r="F453">
        <v>1</v>
      </c>
      <c r="G453">
        <v>5.10528162121772E-2</v>
      </c>
      <c r="H453">
        <v>520.10829180160204</v>
      </c>
      <c r="I453">
        <v>56.930955637874497</v>
      </c>
      <c r="K453">
        <v>5.5843785405158997E-2</v>
      </c>
      <c r="L453" s="2">
        <f t="shared" si="20"/>
        <v>9.3843387073307944</v>
      </c>
      <c r="N453">
        <v>58.308879852294922</v>
      </c>
      <c r="O453">
        <v>510.0546875</v>
      </c>
      <c r="P453" s="2">
        <f t="shared" si="18"/>
        <v>2.4203426747042553</v>
      </c>
      <c r="Q453" s="2">
        <f t="shared" si="19"/>
        <v>-1.9329828922314189</v>
      </c>
    </row>
    <row r="454" spans="1:19" x14ac:dyDescent="0.45">
      <c r="A454" t="s">
        <v>475</v>
      </c>
      <c r="B454">
        <v>61.3</v>
      </c>
      <c r="C454">
        <v>122.3</v>
      </c>
      <c r="D454">
        <v>1.391E-2</v>
      </c>
      <c r="E454">
        <v>27.84</v>
      </c>
      <c r="F454">
        <v>1.02</v>
      </c>
      <c r="G454">
        <v>6.3528418540954507E-2</v>
      </c>
      <c r="H454">
        <v>552.688718245774</v>
      </c>
      <c r="I454">
        <v>55.1415700532336</v>
      </c>
      <c r="K454">
        <v>7.4506290256977081E-2</v>
      </c>
      <c r="L454" s="2">
        <f t="shared" si="20"/>
        <v>17.280253417524523</v>
      </c>
      <c r="N454">
        <v>56.859748840332031</v>
      </c>
      <c r="O454">
        <v>542.31829833984375</v>
      </c>
      <c r="P454" s="2">
        <f t="shared" si="18"/>
        <v>3.1159409959486162</v>
      </c>
      <c r="Q454" s="2">
        <f t="shared" si="19"/>
        <v>-1.8763581675496854</v>
      </c>
    </row>
    <row r="455" spans="1:19" x14ac:dyDescent="0.45">
      <c r="A455" t="s">
        <v>476</v>
      </c>
      <c r="B455">
        <v>75.599999999999994</v>
      </c>
      <c r="C455">
        <v>130</v>
      </c>
      <c r="D455">
        <v>1.3586000000000001E-2</v>
      </c>
      <c r="E455">
        <v>20.149999999999999</v>
      </c>
      <c r="F455">
        <v>1</v>
      </c>
      <c r="G455">
        <v>6.1738416552543599E-2</v>
      </c>
      <c r="H455">
        <v>507.32829180160297</v>
      </c>
      <c r="I455">
        <v>74.487901972495905</v>
      </c>
      <c r="K455">
        <v>6.7666821181774139E-2</v>
      </c>
      <c r="L455" s="2">
        <f t="shared" si="20"/>
        <v>9.6024565582841994</v>
      </c>
      <c r="N455">
        <v>74.871147155761719</v>
      </c>
      <c r="O455">
        <v>491.90078735351563</v>
      </c>
      <c r="P455" s="2">
        <f t="shared" si="18"/>
        <v>0.51450661532569963</v>
      </c>
      <c r="Q455" s="2">
        <f t="shared" si="19"/>
        <v>-3.0409312268594051</v>
      </c>
    </row>
    <row r="456" spans="1:19" x14ac:dyDescent="0.45">
      <c r="A456" t="s">
        <v>477</v>
      </c>
      <c r="B456">
        <v>56.4</v>
      </c>
      <c r="C456">
        <v>126.6</v>
      </c>
      <c r="D456">
        <v>1.1214999999999999E-2</v>
      </c>
      <c r="E456">
        <v>26.18</v>
      </c>
      <c r="F456">
        <v>1</v>
      </c>
      <c r="G456">
        <v>4.9765709787607103E-2</v>
      </c>
      <c r="H456">
        <v>541.35570259964197</v>
      </c>
      <c r="I456">
        <v>47.789454066316502</v>
      </c>
      <c r="K456">
        <v>5.7506807148456567E-2</v>
      </c>
      <c r="L456" s="2">
        <f t="shared" si="20"/>
        <v>15.555082794734275</v>
      </c>
      <c r="N456">
        <v>48.844654083251953</v>
      </c>
      <c r="O456">
        <v>530.78973388671875</v>
      </c>
      <c r="P456" s="2">
        <f t="shared" si="18"/>
        <v>2.2080185629891709</v>
      </c>
      <c r="Q456" s="2">
        <f t="shared" si="19"/>
        <v>-1.9517608592990576</v>
      </c>
    </row>
    <row r="457" spans="1:19" x14ac:dyDescent="0.45">
      <c r="A457" t="s">
        <v>478</v>
      </c>
      <c r="B457">
        <v>57.7</v>
      </c>
      <c r="C457">
        <v>109</v>
      </c>
      <c r="D457">
        <v>1.2851E-2</v>
      </c>
      <c r="E457">
        <v>25.28</v>
      </c>
      <c r="F457">
        <v>1</v>
      </c>
      <c r="G457">
        <v>7.9455912113189697E-2</v>
      </c>
      <c r="H457">
        <v>529.18797390836005</v>
      </c>
      <c r="I457">
        <v>53.562859801123103</v>
      </c>
      <c r="K457">
        <v>7.9312235116958618E-2</v>
      </c>
      <c r="L457" s="2">
        <f t="shared" si="20"/>
        <v>-0.18082606115754185</v>
      </c>
      <c r="N457">
        <v>52.847225189208977</v>
      </c>
      <c r="O457">
        <v>530.78271484375</v>
      </c>
      <c r="P457" s="2">
        <f t="shared" si="18"/>
        <v>-1.33606497967295</v>
      </c>
      <c r="Q457" s="2">
        <f t="shared" si="19"/>
        <v>0.30135623143735929</v>
      </c>
    </row>
    <row r="458" spans="1:19" x14ac:dyDescent="0.45">
      <c r="L458" s="2"/>
      <c r="P458" s="2"/>
      <c r="Q458" s="2"/>
    </row>
    <row r="460" spans="1:19" x14ac:dyDescent="0.45">
      <c r="L460" s="2">
        <f>MIN(L8:L257)</f>
        <v>-21.635412468199565</v>
      </c>
      <c r="P460" s="2">
        <f>MIN(P8:P257)</f>
        <v>-10.848694468133852</v>
      </c>
      <c r="Q460" s="2">
        <f>MIN(Q8:Q257)</f>
        <v>-3.9150531881125272</v>
      </c>
      <c r="S460" t="s">
        <v>221</v>
      </c>
    </row>
    <row r="461" spans="1:19" x14ac:dyDescent="0.45">
      <c r="L461" s="2">
        <f>MAX(L8:L257)</f>
        <v>23.294104879484991</v>
      </c>
      <c r="P461" s="2">
        <f>MAX(P8:P257)</f>
        <v>7.9722749082069972</v>
      </c>
      <c r="Q461" s="2">
        <f>MAX(Q8:Q257)</f>
        <v>1.4227140447793154</v>
      </c>
      <c r="S461" t="s">
        <v>222</v>
      </c>
    </row>
    <row r="462" spans="1:19" x14ac:dyDescent="0.45">
      <c r="L462" s="2" cm="1">
        <f t="array" ref="L462">AVERAGE(ABS(L8:L257))</f>
        <v>6.2704377620322402</v>
      </c>
      <c r="P462" s="2" cm="1">
        <f t="array" ref="P462">AVERAGE(ABS(P8:P257))</f>
        <v>2.4743641215083989</v>
      </c>
      <c r="Q462" s="2" cm="1">
        <f t="array" ref="Q462">AVERAGE(ABS(Q8:Q257))</f>
        <v>0.90169140755094057</v>
      </c>
      <c r="S462" t="s">
        <v>223</v>
      </c>
    </row>
  </sheetData>
  <mergeCells count="6">
    <mergeCell ref="P4:P7"/>
    <mergeCell ref="Q4:Q7"/>
    <mergeCell ref="K4:K7"/>
    <mergeCell ref="L4:L7"/>
    <mergeCell ref="N4:N7"/>
    <mergeCell ref="O4:O7"/>
  </mergeCells>
  <phoneticPr fontId="19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6E2B13623D744FB2C18A418704D37B" ma:contentTypeVersion="3" ma:contentTypeDescription="Create a new document." ma:contentTypeScope="" ma:versionID="80cde4d9804c78675fc445c67d3090c8">
  <xsd:schema xmlns:xsd="http://www.w3.org/2001/XMLSchema" xmlns:xs="http://www.w3.org/2001/XMLSchema" xmlns:p="http://schemas.microsoft.com/office/2006/metadata/properties" xmlns:ns2="116f2a2b-4914-4672-9ef3-ee7e5f5c2150" targetNamespace="http://schemas.microsoft.com/office/2006/metadata/properties" ma:root="true" ma:fieldsID="132925e758d6b2a764f07c223b5d5857" ns2:_="">
    <xsd:import namespace="116f2a2b-4914-4672-9ef3-ee7e5f5c2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f2a2b-4914-4672-9ef3-ee7e5f5c2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635E7C-3864-49ED-A62B-5155B96C1C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6f2a2b-4914-4672-9ef3-ee7e5f5c21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4967CC-9573-4189-A305-F05E6566CB2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9CA5739-8823-4E8A-AD56-7EC2CA1D3B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Radu</dc:creator>
  <cp:lastModifiedBy>Tudor Bartha</cp:lastModifiedBy>
  <dcterms:created xsi:type="dcterms:W3CDTF">2025-11-08T20:48:59Z</dcterms:created>
  <dcterms:modified xsi:type="dcterms:W3CDTF">2026-05-26T12:10:21Z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2025-11-08T20:59:09Z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b7ef1366-deed-434e-a4a1-16787cfe8120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  <property fmtid="{D5CDD505-2E9C-101B-9397-08002B2CF9AE}" pid="10" name="ContentTypeId">
    <vt:lpwstr>0x010100826E2B13623D744FB2C18A418704D37B</vt:lpwstr>
  </property>
</Properties>
</file>